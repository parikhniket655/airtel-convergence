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 &amp; Summary" sheetId="1" state="visible" r:id="rId1"/>
    <sheet xmlns:r="http://schemas.openxmlformats.org/officeDocument/2006/relationships" name="Slide Contents" sheetId="2" state="visible" r:id="rId2"/>
    <sheet xmlns:r="http://schemas.openxmlformats.org/officeDocument/2006/relationships" name="Illustrative Cost Breakdown" sheetId="3" state="visible" r:id="rId3"/>
    <sheet xmlns:r="http://schemas.openxmlformats.org/officeDocument/2006/relationships" name="Existing Base Conversion" sheetId="4" state="visible" r:id="rId4"/>
    <sheet xmlns:r="http://schemas.openxmlformats.org/officeDocument/2006/relationships" name="Outbound Cohort Projections" sheetId="5" state="visible" r:id="rId5"/>
    <sheet xmlns:r="http://schemas.openxmlformats.org/officeDocument/2006/relationships" name="Competitor &amp; Elasticit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&quot;₹&quot;#,##0"/>
    <numFmt numFmtId="165" formatCode="0.0&quot; yrs&quot;"/>
    <numFmt numFmtId="166" formatCode="0.0%"/>
    <numFmt numFmtId="167" formatCode="0.0"/>
    <numFmt numFmtId="168" formatCode="0.0&quot;x&quot;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1E293B"/>
      <sz val="12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7">
    <fill>
      <patternFill/>
    </fill>
    <fill>
      <patternFill patternType="gray125"/>
    </fill>
    <fill>
      <patternFill patternType="solid">
        <fgColor rgb="00ED1D24"/>
        <bgColor rgb="00ED1D24"/>
      </patternFill>
    </fill>
    <fill>
      <patternFill patternType="solid">
        <fgColor rgb="001E293B"/>
        <bgColor rgb="001E293B"/>
      </patternFill>
    </fill>
    <fill>
      <patternFill patternType="solid">
        <fgColor rgb="00ECFDF5"/>
        <bgColor rgb="00ECFDF5"/>
      </patternFill>
    </fill>
    <fill>
      <patternFill patternType="solid">
        <fgColor rgb="00E0F7FA"/>
        <bgColor rgb="00E0F7FA"/>
      </patternFill>
    </fill>
    <fill>
      <patternFill patternType="solid">
        <fgColor rgb="00F8FAFC"/>
        <bgColor rgb="00F8FAFC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top style="thin">
        <color rgb="001E293B"/>
      </top>
      <bottom style="double">
        <color rgb="001E293B"/>
      </bottom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164" fontId="4" fillId="0" borderId="1" applyAlignment="1" pivotButton="0" quotePrefix="0" xfId="0">
      <alignment horizontal="right" vertical="center" wrapText="1"/>
    </xf>
    <xf numFmtId="164" fontId="4" fillId="5" borderId="1" applyAlignment="1" pivotButton="0" quotePrefix="0" xfId="0">
      <alignment horizontal="right" vertical="center" wrapText="1"/>
    </xf>
    <xf numFmtId="0" fontId="5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right" vertical="center" wrapText="1"/>
    </xf>
    <xf numFmtId="164" fontId="5" fillId="5" borderId="1" applyAlignment="1" pivotButton="0" quotePrefix="0" xfId="0">
      <alignment horizontal="right" vertical="center" wrapText="1"/>
    </xf>
    <xf numFmtId="165" fontId="4" fillId="0" borderId="1" applyAlignment="1" pivotButton="0" quotePrefix="0" xfId="0">
      <alignment horizontal="center" vertical="center" wrapText="1"/>
    </xf>
    <xf numFmtId="165" fontId="4" fillId="5" borderId="1" applyAlignment="1" pivotButton="0" quotePrefix="0" xfId="0">
      <alignment horizontal="center" vertical="center" wrapText="1"/>
    </xf>
    <xf numFmtId="166" fontId="4" fillId="0" borderId="1" applyAlignment="1" pivotButton="0" quotePrefix="0" xfId="0">
      <alignment horizontal="center" vertical="center" wrapText="1"/>
    </xf>
    <xf numFmtId="166" fontId="4" fillId="5" borderId="1" applyAlignment="1" pivotButton="0" quotePrefix="0" xfId="0">
      <alignment horizontal="center" vertical="center" wrapText="1"/>
    </xf>
    <xf numFmtId="167" fontId="4" fillId="0" borderId="1" applyAlignment="1" pivotButton="0" quotePrefix="0" xfId="0">
      <alignment horizontal="center" vertical="center" wrapText="1"/>
    </xf>
    <xf numFmtId="167" fontId="4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5" fillId="5" borderId="1" pivotButton="0" quotePrefix="0" xfId="0"/>
    <xf numFmtId="168" fontId="4" fillId="0" borderId="1" applyAlignment="1" pivotButton="0" quotePrefix="0" xfId="0">
      <alignment horizontal="center" vertical="center" wrapText="1"/>
    </xf>
    <xf numFmtId="168" fontId="4" fillId="5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5" borderId="1" applyAlignment="1" pivotButton="0" quotePrefix="0" xfId="0">
      <alignment horizontal="center" vertical="center" wrapText="1"/>
    </xf>
    <xf numFmtId="0" fontId="5" fillId="6" borderId="2" pivotButton="0" quotePrefix="0" xfId="0"/>
    <xf numFmtId="164" fontId="5" fillId="6" borderId="2" applyAlignment="1" pivotButton="0" quotePrefix="0" xfId="0">
      <alignment horizontal="right" vertical="center" wrapText="1"/>
    </xf>
    <xf numFmtId="0" fontId="5" fillId="4" borderId="2" pivotButton="0" quotePrefix="0" xfId="0"/>
    <xf numFmtId="164" fontId="5" fillId="4" borderId="2" applyAlignment="1" pivotButton="0" quotePrefix="0" xfId="0">
      <alignment horizontal="right" vertical="center" wrapText="1"/>
    </xf>
    <xf numFmtId="0" fontId="0" fillId="6" borderId="1" applyAlignment="1" pivotButton="0" quotePrefix="0" xfId="0">
      <alignment horizontal="center" vertical="center" wrapText="1"/>
    </xf>
    <xf numFmtId="3" fontId="0" fillId="6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right" vertical="center" wrapText="1"/>
    </xf>
    <xf numFmtId="0" fontId="0" fillId="6" borderId="1" pivotButton="0" quotePrefix="0" xfId="0"/>
    <xf numFmtId="0" fontId="0" fillId="0" borderId="1" applyAlignment="1" pivotButton="0" quotePrefix="0" xfId="0">
      <alignment horizontal="center" vertical="center" wrapText="1"/>
    </xf>
    <xf numFmtId="3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164" fontId="5" fillId="4" borderId="1" applyAlignment="1" pivotButton="0" quotePrefix="0" xfId="0">
      <alignment horizontal="right" vertical="center" wrapText="1"/>
    </xf>
    <xf numFmtId="164" fontId="0" fillId="0" borderId="1" applyAlignment="1" pivotButton="0" quotePrefix="0" xfId="0">
      <alignment horizontal="right" vertical="center" wrapText="1"/>
    </xf>
    <xf numFmtId="0" fontId="5" fillId="0" borderId="1" applyAlignment="1" pivotButton="0" quotePrefix="0" xfId="0">
      <alignment horizontal="center" vertical="center" wrapText="1"/>
    </xf>
    <xf numFmtId="0" fontId="0" fillId="6" borderId="2" pivotButton="0" quotePrefix="0" xfId="0"/>
    <xf numFmtId="164" fontId="4" fillId="0" borderId="1" pivotButton="0" quotePrefix="0" xfId="0"/>
    <xf numFmtId="0" fontId="5" fillId="4" borderId="1" pivotButton="0" quotePrefix="0" xfId="0"/>
    <xf numFmtId="164" fontId="4" fillId="4" borderId="1" pivotButton="0" quotePrefix="0" xfId="0"/>
    <xf numFmtId="166" fontId="5" fillId="4" borderId="1" applyAlignment="1" pivotButton="0" quotePrefix="0" xfId="0">
      <alignment horizontal="center" vertical="center" wrapText="1"/>
    </xf>
    <xf numFmtId="164" fontId="5" fillId="4" borderId="1" pivotButton="0" quotePrefix="0" xfId="0"/>
    <xf numFmtId="0" fontId="4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1" workbookViewId="0">
      <selection activeCell="A1" sqref="A1"/>
    </sheetView>
  </sheetViews>
  <sheetFormatPr baseColWidth="8" defaultRowHeight="15"/>
  <cols>
    <col width="70" customWidth="1" min="1" max="1"/>
    <col width="47" customWidth="1" min="2" max="2"/>
    <col width="142" customWidth="1" min="3" max="3"/>
    <col width="34" customWidth="1" min="4" max="4"/>
    <col width="37" customWidth="1" min="5" max="5"/>
    <col width="33" customWidth="1" min="6" max="6"/>
    <col width="113" customWidth="1" min="7" max="7"/>
  </cols>
  <sheetData>
    <row r="1" ht="40" customHeight="1">
      <c r="A1" s="1" t="inlineStr">
        <is>
          <t>ALTURA HOUSEHOLD CONVERGENCE STRATEGY FEASIBILITY DASHBOARD</t>
        </is>
      </c>
    </row>
    <row r="2"/>
    <row r="3">
      <c r="A3" s="2" t="inlineStr">
        <is>
          <t>CONVERGENCE ACQUISITION VS. BASE CONVERSION SIDE-BY-SIDE COMPARISON</t>
        </is>
      </c>
    </row>
    <row r="4" ht="25" customHeight="1">
      <c r="A4" s="3" t="inlineStr">
        <is>
          <t>Feasibility Metric</t>
        </is>
      </c>
      <c r="B4" s="3" t="inlineStr">
        <is>
          <t>Outbound Poaching (Jio/Vi Switchers)</t>
        </is>
      </c>
      <c r="C4" s="3" t="inlineStr">
        <is>
          <t>Segment A (Mobile-Only Base)</t>
        </is>
      </c>
      <c r="D4" s="3" t="inlineStr">
        <is>
          <t>Segment B (Broadband-Only Base)</t>
        </is>
      </c>
      <c r="E4" s="3" t="inlineStr">
        <is>
          <t>Segment C (Double-Play Standalone)</t>
        </is>
      </c>
      <c r="F4" s="3" t="inlineStr">
        <is>
          <t>Revenue / Retention Multiplier</t>
        </is>
      </c>
      <c r="G4" s="3" t="inlineStr">
        <is>
          <t>Strategic Modeling Justification</t>
        </is>
      </c>
    </row>
    <row r="5" ht="20" customHeight="1">
      <c r="A5" s="4" t="inlineStr">
        <is>
          <t>Upfront Hardware Capex per Subscriber</t>
        </is>
      </c>
      <c r="B5" s="5" t="n">
        <v>4800</v>
      </c>
      <c r="C5" s="6" t="n">
        <v>4800</v>
      </c>
      <c r="D5" s="6" t="n">
        <v>3300</v>
      </c>
      <c r="E5" s="6" t="n">
        <v>3300</v>
      </c>
      <c r="F5" s="7" t="inlineStr">
        <is>
          <t>Amortized asset base</t>
        </is>
      </c>
      <c r="G5" s="8" t="inlineStr">
        <is>
          <t>ONT Router (₹1,500) + TV Box (₹1,800) + Camera (₹1,500); Segment B/C reuse existing router ONT</t>
        </is>
      </c>
    </row>
    <row r="6" ht="20" customHeight="1">
      <c r="A6" s="4" t="inlineStr">
        <is>
          <t>Upfront Sales &amp; MNP CAC per Subscriber</t>
        </is>
      </c>
      <c r="B6" s="5" t="n">
        <v>1530</v>
      </c>
      <c r="C6" s="6" t="n">
        <v>400</v>
      </c>
      <c r="D6" s="6" t="n">
        <v>1130</v>
      </c>
      <c r="E6" s="6" t="n">
        <v>400</v>
      </c>
      <c r="F6" s="7" t="inlineStr">
        <is>
          <t>CAC cost savings</t>
        </is>
      </c>
      <c r="G6" s="8" t="inlineStr">
        <is>
          <t>Outbound requires ads, runner, tech commission &amp; ₹500 rebate; Segment B requires mobile MNP port-in</t>
        </is>
      </c>
    </row>
    <row r="7" ht="20" customHeight="1">
      <c r="A7" s="4" t="inlineStr">
        <is>
          <t>Total Upfront Investment per Subscriber</t>
        </is>
      </c>
      <c r="B7" s="9">
        <f>B5+B6</f>
        <v/>
      </c>
      <c r="C7" s="10">
        <f>C5+C6</f>
        <v/>
      </c>
      <c r="D7" s="10">
        <f>D5+D6</f>
        <v/>
      </c>
      <c r="E7" s="10">
        <f>E5+E6</f>
        <v/>
      </c>
      <c r="F7" s="7" t="inlineStr">
        <is>
          <t>Initial layout per HH</t>
        </is>
      </c>
      <c r="G7" s="8" t="inlineStr">
        <is>
          <t>Combined CapEx + CAC absorbed by Altura to remove subscriber migration friction</t>
        </is>
      </c>
    </row>
    <row r="8" ht="20" customHeight="1">
      <c r="A8" s="4" t="inlineStr">
        <is>
          <t>First-Bill Customer Switcher Cashback</t>
        </is>
      </c>
      <c r="B8" s="5" t="n">
        <v>500</v>
      </c>
      <c r="C8" s="6" t="n">
        <v>0</v>
      </c>
      <c r="D8" s="6" t="n">
        <v>500</v>
      </c>
      <c r="E8" s="6" t="n">
        <v>0</v>
      </c>
      <c r="F8" s="7" t="inlineStr">
        <is>
          <t>Waived for existing mobile</t>
        </is>
      </c>
      <c r="G8" s="8" t="inlineStr">
        <is>
          <t>One-time contract buyout rebate credited on first bill; ₹0 for existing Altura mobile accounts</t>
        </is>
      </c>
    </row>
    <row r="9" ht="20" customHeight="1">
      <c r="A9" s="4" t="inlineStr">
        <is>
          <t>Monthly Net Revenue (Promo, Mos 1-3)</t>
        </is>
      </c>
      <c r="B9" s="5" t="n">
        <v>949</v>
      </c>
      <c r="C9" s="6" t="n">
        <v>949</v>
      </c>
      <c r="D9" s="6" t="n">
        <v>949</v>
      </c>
      <c r="E9" s="6" t="n">
        <v>949</v>
      </c>
      <c r="F9" s="7" t="inlineStr">
        <is>
          <t>1.00x Promo ARPU</t>
        </is>
      </c>
      <c r="G9" s="8" t="inlineStr">
        <is>
          <t>₹999 promotional price minus ₹50 Autopay discount (waived entry barrier)</t>
        </is>
      </c>
    </row>
    <row r="10" ht="20" customHeight="1">
      <c r="A10" s="4" t="inlineStr">
        <is>
          <t>Monthly Net Revenue (Standard, Mos 4+)</t>
        </is>
      </c>
      <c r="B10" s="5" t="n">
        <v>1449</v>
      </c>
      <c r="C10" s="6" t="n">
        <v>1449</v>
      </c>
      <c r="D10" s="6" t="n">
        <v>1449</v>
      </c>
      <c r="E10" s="6" t="n">
        <v>1449</v>
      </c>
      <c r="F10" s="7" t="inlineStr">
        <is>
          <t>1.12x ARPU increase</t>
        </is>
      </c>
      <c r="G10" s="8" t="inlineStr">
        <is>
          <t>₹1,499 standard Family Secure price minus ₹50 Autopay discount</t>
        </is>
      </c>
    </row>
    <row r="11" ht="20" customHeight="1">
      <c r="A11" s="4" t="inlineStr">
        <is>
          <t>Weighted Recurring Monthly Opex</t>
        </is>
      </c>
      <c r="B11" s="11" t="n">
        <v>535</v>
      </c>
      <c r="C11" s="12" t="n">
        <v>535</v>
      </c>
      <c r="D11" s="12" t="n">
        <v>535</v>
      </c>
      <c r="E11" s="12" t="n">
        <v>535</v>
      </c>
      <c r="F11" s="7" t="inlineStr">
        <is>
          <t>Highly scalable network</t>
        </is>
      </c>
      <c r="G11" s="8" t="inlineStr">
        <is>
          <t>Includes bandwidth backhaul, postpaid pool, Google One, AWS camera cloud, bank, &amp; loyalty program</t>
        </is>
      </c>
    </row>
    <row r="12" ht="20" customHeight="1">
      <c r="A12" s="4" t="inlineStr">
        <is>
          <t>Monthly EBITDA Margin (Standard Period)</t>
        </is>
      </c>
      <c r="B12" s="13" t="n">
        <v>0.6308</v>
      </c>
      <c r="C12" s="14" t="n">
        <v>0.6308</v>
      </c>
      <c r="D12" s="14" t="n">
        <v>0.6308</v>
      </c>
      <c r="E12" s="14" t="n">
        <v>0.6308</v>
      </c>
      <c r="F12" s="7" t="inlineStr">
        <is>
          <t>63.1% EBITDA Margin</t>
        </is>
      </c>
      <c r="G12" s="8" t="inlineStr">
        <is>
          <t>High operating margin once initial customer-end hardware is capitalized and amortized</t>
        </is>
      </c>
    </row>
    <row r="13" ht="20" customHeight="1">
      <c r="A13" s="4" t="inlineStr">
        <is>
          <t>Average Customer Relationship (Years)</t>
        </is>
      </c>
      <c r="B13" s="15" t="n">
        <v>20</v>
      </c>
      <c r="C13" s="16" t="n">
        <v>20</v>
      </c>
      <c r="D13" s="16" t="n">
        <v>20</v>
      </c>
      <c r="E13" s="16" t="n">
        <v>20</v>
      </c>
      <c r="F13" s="7" t="inlineStr">
        <is>
          <t>4.44x Churn Arbitrage</t>
        </is>
      </c>
      <c r="G13" s="8" t="inlineStr">
        <is>
          <t>Bundle reduces annual churn from 22.0% (standalone) to 5.0% (triple-play)</t>
        </is>
      </c>
    </row>
    <row r="14" ht="20" customHeight="1">
      <c r="A14" s="4" t="inlineStr">
        <is>
          <t>Payback Break-Even Period (Months)</t>
        </is>
      </c>
      <c r="B14" s="17" t="n">
        <v>8.57</v>
      </c>
      <c r="C14" s="18" t="n">
        <v>7.33</v>
      </c>
      <c r="D14" s="18" t="n">
        <v>6.49</v>
      </c>
      <c r="E14" s="18" t="n">
        <v>5.69</v>
      </c>
      <c r="F14" s="7" t="inlineStr">
        <is>
          <t>Saves up to 3.0 months</t>
        </is>
      </c>
      <c r="G14" s="8" t="inlineStr">
        <is>
          <t>Time to recover initial hardware subsidy + CAC outlay; existing base conversions pay back significantly faster</t>
        </is>
      </c>
    </row>
    <row r="15" ht="20" customHeight="1">
      <c r="A15" s="4" t="inlineStr">
        <is>
          <t>Net EBITDA Lifetime Value (LTV)</t>
        </is>
      </c>
      <c r="B15" s="9" t="n">
        <v>97511</v>
      </c>
      <c r="C15" s="10" t="n">
        <v>98411</v>
      </c>
      <c r="D15" s="10" t="n">
        <v>98411</v>
      </c>
      <c r="E15" s="10" t="n">
        <v>98411</v>
      </c>
      <c r="F15" s="7" t="inlineStr">
        <is>
          <t>4.82x EBITDA Multiplier</t>
        </is>
      </c>
      <c r="G15" s="8" t="inlineStr">
        <is>
          <t>Consolidated household LTV net of CAC vs. stand-alone mobile/broadband LTV (₹20,226)</t>
        </is>
      </c>
    </row>
    <row r="16" ht="20" customHeight="1">
      <c r="A16" s="4" t="inlineStr">
        <is>
          <t>Ecosystem Return on Investment (ROI)</t>
        </is>
      </c>
      <c r="B16" s="19" t="n">
        <v>15.4</v>
      </c>
      <c r="C16" s="20" t="n">
        <v>18.9</v>
      </c>
      <c r="D16" s="20" t="n">
        <v>22.2</v>
      </c>
      <c r="E16" s="20" t="n">
        <v>26.6</v>
      </c>
      <c r="F16" s="7" t="inlineStr">
        <is>
          <t>Up to 26.6x Lifetime return</t>
        </is>
      </c>
      <c r="G16" s="8" t="inlineStr">
        <is>
          <t>EBITDA Lifetime contribution divided by total initial Capex + CAC outlay</t>
        </is>
      </c>
    </row>
    <row r="17"/>
    <row r="18"/>
    <row r="19">
      <c r="A19" s="2" t="inlineStr">
        <is>
          <t>STRATEGIC SLIDE PITCH KEY DATA POINTS</t>
        </is>
      </c>
    </row>
    <row r="20" ht="25" customHeight="1">
      <c r="A20" s="3" t="inlineStr">
        <is>
          <t>Slide Focus</t>
        </is>
      </c>
      <c r="B20" s="3" t="inlineStr">
        <is>
          <t>Key Data Point to Present</t>
        </is>
      </c>
      <c r="C20" s="3" t="inlineStr">
        <is>
          <t>Strategic Takeaway for Judges</t>
        </is>
      </c>
    </row>
    <row r="21" ht="20" customHeight="1">
      <c r="A21" s="17" t="inlineStr">
        <is>
          <t>Slide 2: Solution Engine</t>
        </is>
      </c>
      <c r="B21" s="21" t="inlineStr">
        <is>
          <t>Inbound-First Base Conversion Strategy</t>
        </is>
      </c>
      <c r="C21" s="21" t="inlineStr">
        <is>
          <t>Saves up to ₹2,630 in upfront router and SIM marketing CAC by targeting existing high-trust customers first.</t>
        </is>
      </c>
    </row>
    <row r="22" ht="20" customHeight="1">
      <c r="A22" s="17" t="inlineStr">
        <is>
          <t>Slide 3: Financial Feasibility</t>
        </is>
      </c>
      <c r="B22" s="21" t="inlineStr">
        <is>
          <t>Segment C Payback = 5.7 Months (ROI = 26.6x)</t>
        </is>
      </c>
      <c r="C22" s="21" t="inlineStr">
        <is>
          <t>Consolidating existing double-play subscribers only requires a ₹3.7k TV/Camera outlay, returning ₹98k in lifetime EBITDA.</t>
        </is>
      </c>
    </row>
    <row r="23" ht="20" customHeight="1">
      <c r="A23" s="17" t="inlineStr">
        <is>
          <t>Slide 3: Financial Feasibility</t>
        </is>
      </c>
      <c r="B23" s="21" t="inlineStr">
        <is>
          <t>Average Base Payback = 6.5 Months</t>
        </is>
      </c>
      <c r="C23" s="21" t="inlineStr">
        <is>
          <t>Waiving upfront hardware and charging ₹999 promo price is highly feasible, recovering investments 2.1 months faster than outbound poaching.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65" customWidth="1" min="4" max="4"/>
    <col width="35" customWidth="1" min="5" max="5"/>
  </cols>
  <sheetData>
    <row r="1" ht="40" customHeight="1">
      <c r="A1" s="1" t="inlineStr">
        <is>
          <t>POWERPOINT PRESENTATION SLIDE CONTENTS</t>
        </is>
      </c>
    </row>
    <row r="3" ht="25" customHeight="1">
      <c r="A3" s="3" t="inlineStr">
        <is>
          <t>Slide Reference</t>
        </is>
      </c>
      <c r="B3" s="3" t="inlineStr">
        <is>
          <t>Content Heading</t>
        </is>
      </c>
      <c r="C3" s="3" t="inlineStr">
        <is>
          <t>Sub-headline / Context</t>
        </is>
      </c>
      <c r="D3" s="3" t="inlineStr">
        <is>
          <t>Bullet Point Content</t>
        </is>
      </c>
      <c r="E3" s="3" t="inlineStr">
        <is>
          <t>Key Strategic Takeaway</t>
        </is>
      </c>
    </row>
    <row r="4" ht="200" customHeight="1">
      <c r="A4" s="22" t="inlineStr">
        <is>
          <t>Slide 2: Solution</t>
        </is>
      </c>
      <c r="B4" s="8" t="inlineStr">
        <is>
          <t>Altura Home: The Strategy in Action (Organic Base Conversion + Outbound Poaching)</t>
        </is>
      </c>
      <c r="C4" s="8" t="inlineStr">
        <is>
          <t>Leveraging organic single-play and double-play subscriber bases as the primary high-retention launch pad, while positioning outbound competitor poaching as a secondary future lever.</t>
        </is>
      </c>
      <c r="D4" s="8" t="inlineStr">
        <is>
          <t>1. Focus on Converting Our Own Base First:
 - Inbound Cross-Selling: Target existing Mobile postpaid-only, Broadband-only, and standalone Double-Play customers to upgrade them to Family Secure.
 - Lower Entry Barrier: Waiving router costs for existing broadband accounts and SIM card provisioning for existing mobile lines reduces initial layout.
 - Trust &amp; Stickiness: Converting our own base drives higher immediate trust and locks in multiple services under a single unified billing portal.
2. The Onboarding Portal &amp; Web Tools:
 - Build-Your-Own-Bundle Customizer: Interactive calculator showing real-time monthly billing savings and Thanks Coins to dismantle Utility-Arbitrage Bias.
 - AirBot AI digital concierge to simplify profile matching and eliminate onboarding friction.
3. Outbound Competitor Poaching (Secondary Future Lever):
 - Doorstep MNP in 15 Minutes: Eqquiping in-home installation technicians with mobile activation apps to execute MNP port-ins.
 - Switcher's Contract Rebate: One-time ₹500 cashback credit to offset switcher penalty fees.</t>
        </is>
      </c>
      <c r="E4" s="8" t="inlineStr">
        <is>
          <t>Targeting our own base first eliminates the largest Capex and marketing CAC costs, securing maximum value before expanding outbound.</t>
        </is>
      </c>
    </row>
    <row r="5" ht="200" customHeight="1">
      <c r="A5" s="22" t="inlineStr">
        <is>
          <t>Slide 3: Feasibility</t>
        </is>
      </c>
      <c r="B5" s="8" t="inlineStr">
        <is>
          <t>Illustrative Financial Feasibility (Based on industry benchmarks and internal modeling assumptions)</t>
        </is>
      </c>
      <c r="C5" s="8" t="inlineStr">
        <is>
          <t>Amortizing upfront development, hardware subsidy, and switcher rebates through high-retention monthly recurring EBITDA margins.</t>
        </is>
      </c>
      <c r="D5" s="8" t="inlineStr">
        <is>
          <t>1. Existing Base Conversion Economics (Highest Return Loop):
 - Segment A (Mobile-Only Base): Initial outlay ₹5,200 (Router/TV Box/Camera/Labor/Upsell) -&gt; Payback = 7.3 Months (ROI = 18.9x).
 - Segment B (Broadband-Only Base): Initial outlay ₹4,430 (reuses existing router, adds mobile SIM MNP/TV/Camera) -&gt; Payback = 6.5 Months (ROI = 22.2x).
 - Segment C (Double-Play Standalone): Initial outlay ₹3,700 (reuses existing router &amp; postpaid SIMs, adds TV/Camera/Labor) -&gt; Payback = 5.7 Months (ROI = 26.6x).
 - Weighted Base Payback: Average of 6.5 Months (2.1 months faster than outbound competitor poaching).
2. Detailed Operating Cost &amp; LTV Benchmarks:
 - Recurring monthly Opex: ₹535/mo per user (bandwidth, content licensing, cellular tower pool, Google bulk royalty, cloud storage, bank administration).
 - Google One (200GB): Modeled as an assumed volume-negotiated enterprise licensing rate (wholesale bulk transfer pricing rather than retail).
 - Churn Arbitrage LTV: Consolidating services reduces annual churn from 22.0% (standalone) to 5.0% (bundled), extending relationship lifetime from 4.5 to 20 years, yielding ₹98,411 Lifetime EBITDA contribution.</t>
        </is>
      </c>
      <c r="E5" s="8" t="inlineStr">
        <is>
          <t>waiving hardware and contract buyout costs is highly feasible, returning the initial layouts in 5.7 to 7.3 months for our own base.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showGridLines="1" workbookViewId="0">
      <selection activeCell="A1" sqref="A1"/>
    </sheetView>
  </sheetViews>
  <sheetFormatPr baseColWidth="8" defaultRowHeight="15"/>
  <cols>
    <col width="60" customWidth="1" min="1" max="1"/>
    <col width="29" customWidth="1" min="2" max="2"/>
    <col width="25" customWidth="1" min="3" max="3"/>
    <col width="28" customWidth="1" min="4" max="4"/>
    <col width="117" customWidth="1" min="5" max="5"/>
    <col width="77" customWidth="1" min="6" max="6"/>
  </cols>
  <sheetData>
    <row r="1" ht="40" customHeight="1">
      <c r="A1" s="1" t="inlineStr">
        <is>
          <t>ILLUSTRATIVE UNIT ECONOMICS &amp; MODELING ASSUMPTIONS</t>
        </is>
      </c>
    </row>
    <row r="2"/>
    <row r="3">
      <c r="A3" s="2" t="inlineStr">
        <is>
          <t>1. ONE-TIME CAPITAL &amp; DEVELOPMENT COSTS (CAPEX - ASSUMED)</t>
        </is>
      </c>
    </row>
    <row r="4" ht="25" customHeight="1">
      <c r="A4" s="3" t="inlineStr">
        <is>
          <t>Cost Item</t>
        </is>
      </c>
      <c r="B4" s="3" t="inlineStr">
        <is>
          <t>Bulk Procurement Price (₹)</t>
        </is>
      </c>
      <c r="C4" s="3" t="inlineStr">
        <is>
          <t>Customer Charging (₹)</t>
        </is>
      </c>
      <c r="D4" s="3" t="inlineStr">
        <is>
          <t>Net Altura Subsidy (₹)</t>
        </is>
      </c>
      <c r="E4" s="3" t="inlineStr">
        <is>
          <t>Amortization Rule</t>
        </is>
      </c>
      <c r="F4" s="3" t="inlineStr">
        <is>
          <t>Strategic Business Justification</t>
        </is>
      </c>
    </row>
    <row r="5" ht="20" customHeight="1">
      <c r="A5" s="21" t="inlineStr">
        <is>
          <t>Website &amp; AI Portal Development</t>
        </is>
      </c>
      <c r="B5" s="5" t="n">
        <v>2000000</v>
      </c>
      <c r="C5" s="5" t="n">
        <v>0</v>
      </c>
      <c r="D5" s="5" t="n">
        <v>2000000</v>
      </c>
      <c r="E5" s="21" t="inlineStr">
        <is>
          <t>Amortized over first 1,000 cohort (₹2,000/HH)</t>
        </is>
      </c>
      <c r="F5" s="21" t="inlineStr">
        <is>
          <t>Design, customizer custom frontend, AirBot AI NLP training, APIs</t>
        </is>
      </c>
    </row>
    <row r="6" ht="20" customHeight="1">
      <c r="A6" s="21" t="inlineStr">
        <is>
          <t>Dual-Band ONT Wi-Fi Router</t>
        </is>
      </c>
      <c r="B6" s="5" t="n">
        <v>1500</v>
      </c>
      <c r="C6" s="5" t="n">
        <v>0</v>
      </c>
      <c r="D6" s="5" t="n">
        <v>1500</v>
      </c>
      <c r="E6" s="21" t="inlineStr">
        <is>
          <t>Amortized over customer contract lifetime</t>
        </is>
      </c>
      <c r="F6" s="21" t="inlineStr">
        <is>
          <t>Waived to eliminate migration barrier; high-speed home connectivity anchor</t>
        </is>
      </c>
    </row>
    <row r="7" ht="20" customHeight="1">
      <c r="A7" s="21" t="inlineStr">
        <is>
          <t>Altura Xstream 4K Smart Android Box</t>
        </is>
      </c>
      <c r="B7" s="5" t="n">
        <v>1800</v>
      </c>
      <c r="C7" s="5" t="n">
        <v>0</v>
      </c>
      <c r="D7" s="5" t="n">
        <v>1800</v>
      </c>
      <c r="E7" s="21" t="inlineStr">
        <is>
          <t>Amortized over customer contract lifetime</t>
        </is>
      </c>
      <c r="F7" s="21" t="inlineStr">
        <is>
          <t>Waived; hybrid satellite/OTT television anchor to stop DTH revenue drop</t>
        </is>
      </c>
    </row>
    <row r="8" ht="20" customHeight="1">
      <c r="A8" s="21" t="inlineStr">
        <is>
          <t>Altura Xsafe AI Smart Security Camera</t>
        </is>
      </c>
      <c r="B8" s="5" t="n">
        <v>1500</v>
      </c>
      <c r="C8" s="5" t="n">
        <v>0</v>
      </c>
      <c r="D8" s="5" t="n">
        <v>1500</v>
      </c>
      <c r="E8" s="21" t="inlineStr">
        <is>
          <t>Amortized over customer contract lifetime</t>
        </is>
      </c>
      <c r="F8" s="21" t="inlineStr">
        <is>
          <t>Waived; smart home security camera enlisting cell-failover backup tech</t>
        </is>
      </c>
    </row>
    <row r="9" ht="22" customHeight="1">
      <c r="A9" s="23" t="inlineStr">
        <is>
          <t>Total Capex per Subscriber</t>
        </is>
      </c>
      <c r="B9" s="24">
        <f>SUM(B6:B8)</f>
        <v/>
      </c>
      <c r="C9" s="24">
        <f>SUM(C6:C8)</f>
        <v/>
      </c>
      <c r="D9" s="24">
        <f>B9-C9</f>
        <v/>
      </c>
      <c r="E9" s="23" t="inlineStr">
        <is>
          <t>Hardware Subsidy</t>
        </is>
      </c>
      <c r="F9" s="23" t="inlineStr">
        <is>
          <t>Total Capex absorbed per Household</t>
        </is>
      </c>
    </row>
    <row r="10"/>
    <row r="11">
      <c r="A11" s="2" t="inlineStr">
        <is>
          <t>2. ONE-TIME CUSTOMER ACQUISITION COSTS (CAC - ASSUMED)</t>
        </is>
      </c>
    </row>
    <row r="12" ht="25" customHeight="1">
      <c r="A12" s="3" t="inlineStr">
        <is>
          <t>Acquisition Cost Item</t>
        </is>
      </c>
      <c r="B12" s="3" t="inlineStr">
        <is>
          <t>Bulk/Unit Cost (₹)</t>
        </is>
      </c>
      <c r="C12" s="3" t="inlineStr">
        <is>
          <t>Charge to Customer (₹)</t>
        </is>
      </c>
      <c r="D12" s="3" t="inlineStr">
        <is>
          <t>Net Altura CAC (₹)</t>
        </is>
      </c>
      <c r="E12" s="3" t="inlineStr">
        <is>
          <t>Channel Mapped</t>
        </is>
      </c>
      <c r="F12" s="3" t="inlineStr">
        <is>
          <t>Acquisition Channel Efficiency Justification</t>
        </is>
      </c>
    </row>
    <row r="13" ht="20" customHeight="1">
      <c r="A13" s="21" t="inlineStr">
        <is>
          <t>Technician Labor Cost</t>
        </is>
      </c>
      <c r="B13" s="5" t="n">
        <v>300</v>
      </c>
      <c r="C13" s="5" t="n">
        <v>0</v>
      </c>
      <c r="D13" s="5" t="n">
        <v>300</v>
      </c>
      <c r="E13" s="21" t="inlineStr">
        <is>
          <t>In-Home Service Engineers</t>
        </is>
      </c>
      <c r="F13" s="21" t="inlineStr">
        <is>
          <t>Cost of initial physical visit and hardware deployment</t>
        </is>
      </c>
    </row>
    <row r="14" ht="20" customHeight="1">
      <c r="A14" s="21" t="inlineStr">
        <is>
          <t>Physical SIM Card &amp; Security Chip</t>
        </is>
      </c>
      <c r="B14" s="5" t="n">
        <v>80</v>
      </c>
      <c r="C14" s="5" t="n">
        <v>0</v>
      </c>
      <c r="D14" s="5" t="n">
        <v>80</v>
      </c>
      <c r="E14" s="21" t="inlineStr">
        <is>
          <t>Outbound Delivery</t>
        </is>
      </c>
      <c r="F14" s="21" t="inlineStr">
        <is>
          <t>Provisioning costs for 2 family postpaid SIM cards</t>
        </is>
      </c>
    </row>
    <row r="15" ht="20" customHeight="1">
      <c r="A15" s="21" t="inlineStr">
        <is>
          <t>MNP Switcher Cashback (Rebate)</t>
        </is>
      </c>
      <c r="B15" s="5" t="n">
        <v>500</v>
      </c>
      <c r="C15" s="5" t="n">
        <v>0</v>
      </c>
      <c r="D15" s="5" t="n">
        <v>500</v>
      </c>
      <c r="E15" s="21" t="inlineStr">
        <is>
          <t>Outbound MNP</t>
        </is>
      </c>
      <c r="F15" s="21" t="inlineStr">
        <is>
          <t>Buyout penalty fee rebate given to Jio/Vi switcher on first bill</t>
        </is>
      </c>
    </row>
    <row r="16" ht="20" customHeight="1">
      <c r="A16" s="21" t="inlineStr">
        <is>
          <t>Doorstep MNP Delivery Runner</t>
        </is>
      </c>
      <c r="B16" s="5" t="n">
        <v>100</v>
      </c>
      <c r="C16" s="5" t="n">
        <v>0</v>
      </c>
      <c r="D16" s="5" t="n">
        <v>100</v>
      </c>
      <c r="E16" s="21" t="inlineStr">
        <is>
          <t>Outbound Delivery</t>
        </is>
      </c>
      <c r="F16" s="21" t="inlineStr">
        <is>
          <t>Runner cost for doorstep delivery and SIM activation in 15 mins</t>
        </is>
      </c>
    </row>
    <row r="17" ht="20" customHeight="1">
      <c r="A17" s="21" t="inlineStr">
        <is>
          <t>Technician MNP Porting Commission</t>
        </is>
      </c>
      <c r="B17" s="5" t="n">
        <v>50</v>
      </c>
      <c r="C17" s="5" t="n">
        <v>0</v>
      </c>
      <c r="D17" s="5" t="n">
        <v>50</v>
      </c>
      <c r="E17" s="21" t="inlineStr">
        <is>
          <t>In-Home Service Engineers</t>
        </is>
      </c>
      <c r="F17" s="21" t="inlineStr">
        <is>
          <t>Engineers get bonus incentive to check competitor SIMs and execute porting</t>
        </is>
      </c>
    </row>
    <row r="18" ht="20" customHeight="1">
      <c r="A18" s="21" t="inlineStr">
        <is>
          <t>Blended Marketing/Advertising Spend</t>
        </is>
      </c>
      <c r="B18" s="5" t="n">
        <v>500</v>
      </c>
      <c r="C18" s="5" t="n">
        <v>0</v>
      </c>
      <c r="D18" s="5" t="n">
        <v>500</v>
      </c>
      <c r="E18" s="21" t="inlineStr">
        <is>
          <t>Digital Portal / OOH</t>
        </is>
      </c>
      <c r="F18" s="21" t="inlineStr">
        <is>
          <t>Pincode-targeted search ads, billboards, and performance marketing</t>
        </is>
      </c>
    </row>
    <row r="19" ht="22" customHeight="1">
      <c r="A19" s="23" t="inlineStr">
        <is>
          <t>Total CAC per Subscriber</t>
        </is>
      </c>
      <c r="B19" s="24">
        <f>SUM(B13:B18)</f>
        <v/>
      </c>
      <c r="C19" s="24">
        <f>SUM(C13:C18)</f>
        <v/>
      </c>
      <c r="D19" s="24">
        <f>B19-C19</f>
        <v/>
      </c>
      <c r="E19" s="23" t="inlineStr">
        <is>
          <t>Ecosystem Outbound CAC</t>
        </is>
      </c>
      <c r="F19" s="23" t="inlineStr">
        <is>
          <t>Total acquisition CAC outlay per customer</t>
        </is>
      </c>
    </row>
    <row r="20"/>
    <row r="21">
      <c r="A21" s="2" t="inlineStr">
        <is>
          <t>3. MONTHLY RECURRING OPERATIONAL COSTS (OPEX - ASSUMED)</t>
        </is>
      </c>
    </row>
    <row r="22" ht="25" customHeight="1">
      <c r="A22" s="3" t="inlineStr">
        <is>
          <t>Opex Cost Item</t>
        </is>
      </c>
      <c r="B22" s="3" t="inlineStr">
        <is>
          <t>Monthly Cost (₹)</t>
        </is>
      </c>
      <c r="C22" s="3" t="inlineStr">
        <is>
          <t>Zebra Mapped Product</t>
        </is>
      </c>
      <c r="D22" s="3" t="inlineStr">
        <is>
          <t>EBITDA Mapped Segment</t>
        </is>
      </c>
      <c r="E22" s="3" t="inlineStr">
        <is>
          <t>EBITDA Margin Context</t>
        </is>
      </c>
      <c r="F22" s="3" t="inlineStr">
        <is>
          <t>Operational Performance Moat Justification</t>
        </is>
      </c>
    </row>
    <row r="23" ht="20" customHeight="1">
      <c r="A23" s="21" t="inlineStr">
        <is>
          <t>Broadband Backhaul Bandwidth</t>
        </is>
      </c>
      <c r="B23" s="5" t="n">
        <v>100</v>
      </c>
      <c r="C23" s="21" t="inlineStr">
        <is>
          <t>Fiber Broadband</t>
        </is>
      </c>
      <c r="D23" s="21" t="inlineStr">
        <is>
          <t>Broadband (32% EBITDA)</t>
        </is>
      </c>
      <c r="E23" s="21" t="inlineStr">
        <is>
          <t>Incremental bandwidth cost of laying and servicing fiber lines</t>
        </is>
      </c>
      <c r="F23" s="21" t="inlineStr">
        <is>
          <t>Home fiber link connection backhaul and hardware maintenance</t>
        </is>
      </c>
    </row>
    <row r="24" ht="20" customHeight="1">
      <c r="A24" s="21" t="inlineStr">
        <is>
          <t>Cellular Network Data Pool (2 SIMs)</t>
        </is>
      </c>
      <c r="B24" s="5" t="n">
        <v>160</v>
      </c>
      <c r="C24" s="21" t="inlineStr">
        <is>
          <t>Postpaid Mobile</t>
        </is>
      </c>
      <c r="D24" s="21" t="inlineStr">
        <is>
          <t>Mobility (28% EBITDA)</t>
        </is>
      </c>
      <c r="E24" s="21" t="inlineStr">
        <is>
          <t>Core cellular tower maintenance and pool data routing</t>
        </is>
      </c>
      <c r="F24" s="21" t="inlineStr">
        <is>
          <t>Postpaid cell pool, priority network routing slot</t>
        </is>
      </c>
    </row>
    <row r="25" ht="20" customHeight="1">
      <c r="A25" s="21" t="inlineStr">
        <is>
          <t>DTH Carriage &amp; Content Licensing</t>
        </is>
      </c>
      <c r="B25" s="5" t="n">
        <v>120</v>
      </c>
      <c r="C25" s="21" t="inlineStr">
        <is>
          <t>Xstream Play TV</t>
        </is>
      </c>
      <c r="D25" s="21" t="inlineStr">
        <is>
          <t>DTH / TV (12% EBITDA)</t>
        </is>
      </c>
      <c r="E25" s="21" t="inlineStr">
        <is>
          <t>Content carriage licensing fee paid to broadcasters/OTT players</t>
        </is>
      </c>
      <c r="F25" s="21" t="inlineStr">
        <is>
          <t>4K TV feed, basic channels, carriage, and OTT app licenses</t>
        </is>
      </c>
    </row>
    <row r="26" ht="20" customHeight="1">
      <c r="A26" s="21" t="inlineStr">
        <is>
          <t>Google One Bulk License Royalty</t>
        </is>
      </c>
      <c r="B26" s="5" t="n">
        <v>50</v>
      </c>
      <c r="C26" s="21" t="inlineStr">
        <is>
          <t>Google One (200GB)</t>
        </is>
      </c>
      <c r="D26" s="21" t="inlineStr">
        <is>
          <t>N/A (Net 15% Margin)</t>
        </is>
      </c>
      <c r="E26" s="21" t="inlineStr">
        <is>
          <t>Assumed volume-negotiated enterprise licensing cost (Airtel offers 100GB/6-mos; Altura negotiates 200GB wholesale)</t>
        </is>
      </c>
      <c r="F26" s="21" t="inlineStr">
        <is>
          <t>200GB cloud storage space, family backup cloud access</t>
        </is>
      </c>
    </row>
    <row r="27" ht="20" customHeight="1">
      <c r="A27" s="21" t="inlineStr">
        <is>
          <t>Xsafe Camera Cloud Storage Hosting</t>
        </is>
      </c>
      <c r="B27" s="5" t="n">
        <v>40</v>
      </c>
      <c r="C27" s="21" t="inlineStr">
        <is>
          <t>Xsafe Smart Camera</t>
        </is>
      </c>
      <c r="D27" s="21" t="inlineStr">
        <is>
          <t>Surveillance (35% EBITDA)</t>
        </is>
      </c>
      <c r="E27" s="21" t="inlineStr">
        <is>
          <t>AWS/Azure cloud hosting cost per camera cloud recording feed</t>
        </is>
      </c>
      <c r="F27" s="21" t="inlineStr">
        <is>
          <t>7-day recording loop storage space and humanoid alert notification</t>
        </is>
      </c>
    </row>
    <row r="28" ht="20" customHeight="1">
      <c r="A28" s="21" t="inlineStr">
        <is>
          <t>Payments Bank Administration Fee</t>
        </is>
      </c>
      <c r="B28" s="5" t="n">
        <v>15</v>
      </c>
      <c r="C28" s="21" t="inlineStr">
        <is>
          <t>Payments Bank</t>
        </is>
      </c>
      <c r="D28" s="21" t="inlineStr">
        <is>
          <t>Banking (50% EBITDA)</t>
        </is>
      </c>
      <c r="E28" s="21" t="inlineStr">
        <is>
          <t>Transaction clearing, database administration, and KYC cost</t>
        </is>
      </c>
      <c r="F28" s="21" t="inlineStr">
        <is>
          <t>7% interest rate margin management, Safe Pay anti-fraud engine</t>
        </is>
      </c>
    </row>
    <row r="29" ht="20" customHeight="1">
      <c r="A29" s="21" t="inlineStr">
        <is>
          <t>Thanks Coins Loyalty Redemption</t>
        </is>
      </c>
      <c r="B29" s="5" t="n">
        <v>50</v>
      </c>
      <c r="C29" s="21" t="inlineStr">
        <is>
          <t>Ecosystem Reward</t>
        </is>
      </c>
      <c r="D29" s="21" t="inlineStr">
        <is>
          <t>Ecosystem Loyalty</t>
        </is>
      </c>
      <c r="E29" s="21" t="inlineStr">
        <is>
          <t>Margin cost of coin redemptions at retail partner merchants</t>
        </is>
      </c>
      <c r="F29" s="21" t="inlineStr">
        <is>
          <t>Loyalty coins program, incentivizing Autopay and monthly renewals</t>
        </is>
      </c>
    </row>
    <row r="30" ht="22" customHeight="1">
      <c r="A30" s="25" t="inlineStr">
        <is>
          <t>Total Recurring Monthly Opex</t>
        </is>
      </c>
      <c r="B30" s="26">
        <f>SUM(B23:B29)</f>
        <v/>
      </c>
      <c r="C30" s="25" t="inlineStr">
        <is>
          <t>Combined Services</t>
        </is>
      </c>
      <c r="D30" s="25" t="inlineStr">
        <is>
          <t>Weighted Segments</t>
        </is>
      </c>
      <c r="E30" s="25" t="inlineStr">
        <is>
          <t>EBITDA Profit Factor</t>
        </is>
      </c>
      <c r="F30" s="25" t="inlineStr">
        <is>
          <t>Altura's total monthly operational cost per user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9"/>
  <sheetViews>
    <sheetView showGridLines="1" workbookViewId="0">
      <selection activeCell="A1" sqref="A1"/>
    </sheetView>
  </sheetViews>
  <sheetFormatPr baseColWidth="8" defaultRowHeight="15"/>
  <cols>
    <col width="69" customWidth="1" min="1" max="1"/>
    <col width="21" customWidth="1" min="2" max="2"/>
    <col width="32" customWidth="1" min="3" max="3"/>
    <col width="21" customWidth="1" min="4" max="4"/>
    <col width="32" customWidth="1" min="5" max="5"/>
    <col width="21" customWidth="1" min="6" max="6"/>
    <col width="32" customWidth="1" min="7" max="7"/>
    <col width="44" customWidth="1" min="8" max="8"/>
  </cols>
  <sheetData>
    <row r="1" ht="40" customHeight="1">
      <c r="A1" s="1" t="inlineStr">
        <is>
          <t>ORGANIC CUSTOMER BASE CONVERSION BUDGETS (COHORTS OF 1,000)</t>
        </is>
      </c>
    </row>
    <row r="2"/>
    <row r="3">
      <c r="A3" s="2" t="inlineStr">
        <is>
          <t>MONTH-BY-MONTH RECOVERY TIMELINES AND CUMULATIVE EBITDA BY SEGMENT</t>
        </is>
      </c>
    </row>
    <row r="4" ht="25" customHeight="1">
      <c r="A4" s="3" t="inlineStr">
        <is>
          <t>Timeline</t>
        </is>
      </c>
      <c r="B4" s="3" t="inlineStr">
        <is>
          <t>Segment A: Active</t>
        </is>
      </c>
      <c r="C4" s="3" t="inlineStr">
        <is>
          <t>Segment A: Cash (₹)</t>
        </is>
      </c>
      <c r="D4" s="3" t="inlineStr">
        <is>
          <t>Segment B: Active</t>
        </is>
      </c>
      <c r="E4" s="3" t="inlineStr">
        <is>
          <t>Segment B: Cash (₹)</t>
        </is>
      </c>
      <c r="F4" s="3" t="inlineStr">
        <is>
          <t>Segment C: Active</t>
        </is>
      </c>
      <c r="G4" s="3" t="inlineStr">
        <is>
          <t>Segment C: Cash (₹)</t>
        </is>
      </c>
      <c r="H4" s="3" t="inlineStr">
        <is>
          <t>Upsell Period &amp; Pricing Details</t>
        </is>
      </c>
    </row>
    <row r="5" ht="20" customHeight="1">
      <c r="A5" s="27" t="inlineStr">
        <is>
          <t>Month 0 (Upfront)</t>
        </is>
      </c>
      <c r="B5" s="28" t="n">
        <v>1000</v>
      </c>
      <c r="C5" s="29">
        <f>-B5*'Dashboard &amp; Summary'!C7</f>
        <v/>
      </c>
      <c r="D5" s="28" t="n">
        <v>1000</v>
      </c>
      <c r="E5" s="29">
        <f>-D5*'Dashboard &amp; Summary'!D7</f>
        <v/>
      </c>
      <c r="F5" s="28" t="n">
        <v>1000</v>
      </c>
      <c r="G5" s="29">
        <f>-F5*'Dashboard &amp; Summary'!E7</f>
        <v/>
      </c>
      <c r="H5" s="30" t="inlineStr">
        <is>
          <t>Hardware subsidies + Digital Upsell labor</t>
        </is>
      </c>
    </row>
    <row r="6" ht="20" customHeight="1">
      <c r="A6" s="31" t="inlineStr">
        <is>
          <t>Month 1</t>
        </is>
      </c>
      <c r="B6" s="32">
        <f>B5*(1-(0.05/12))</f>
        <v/>
      </c>
      <c r="C6" s="5">
        <f>C5+(B6*414)</f>
        <v/>
      </c>
      <c r="D6" s="32">
        <f>D5*(1-(0.05/12))</f>
        <v/>
      </c>
      <c r="E6" s="5">
        <f>E5+(D6*414)</f>
        <v/>
      </c>
      <c r="F6" s="32">
        <f>F5*(1-(0.05/12))</f>
        <v/>
      </c>
      <c r="G6" s="5">
        <f>G5+(F6*414)</f>
        <v/>
      </c>
      <c r="H6" s="33" t="inlineStr">
        <is>
          <t>Promo Pricing (₹949 Net)</t>
        </is>
      </c>
    </row>
    <row r="7" ht="20" customHeight="1">
      <c r="A7" s="31" t="inlineStr">
        <is>
          <t>Month 2</t>
        </is>
      </c>
      <c r="B7" s="32">
        <f>B6*(1-(0.05/12))</f>
        <v/>
      </c>
      <c r="C7" s="5">
        <f>C6+(B7*414)</f>
        <v/>
      </c>
      <c r="D7" s="32">
        <f>D6*(1-(0.05/12))</f>
        <v/>
      </c>
      <c r="E7" s="5">
        <f>E6+(D7*414)</f>
        <v/>
      </c>
      <c r="F7" s="32">
        <f>F6*(1-(0.05/12))</f>
        <v/>
      </c>
      <c r="G7" s="5">
        <f>G6+(F7*414)</f>
        <v/>
      </c>
      <c r="H7" s="33" t="inlineStr">
        <is>
          <t>Promo Pricing (₹949 Net)</t>
        </is>
      </c>
    </row>
    <row r="8" ht="20" customHeight="1">
      <c r="A8" s="31" t="inlineStr">
        <is>
          <t>Month 3</t>
        </is>
      </c>
      <c r="B8" s="32">
        <f>B7*(1-(0.05/12))</f>
        <v/>
      </c>
      <c r="C8" s="5">
        <f>C7+(B8*414)</f>
        <v/>
      </c>
      <c r="D8" s="32">
        <f>D7*(1-(0.05/12))</f>
        <v/>
      </c>
      <c r="E8" s="5">
        <f>E7+(D8*414)</f>
        <v/>
      </c>
      <c r="F8" s="32">
        <f>F7*(1-(0.05/12))</f>
        <v/>
      </c>
      <c r="G8" s="5">
        <f>G7+(F8*414)</f>
        <v/>
      </c>
      <c r="H8" s="33" t="inlineStr">
        <is>
          <t>Promo Pricing (₹949 Net)</t>
        </is>
      </c>
    </row>
    <row r="9" ht="20" customHeight="1">
      <c r="A9" s="31" t="inlineStr">
        <is>
          <t>Month 4</t>
        </is>
      </c>
      <c r="B9" s="32">
        <f>B8*(1-(0.05/12))</f>
        <v/>
      </c>
      <c r="C9" s="5">
        <f>C8+(B9*914)</f>
        <v/>
      </c>
      <c r="D9" s="32">
        <f>D8*(1-(0.05/12))</f>
        <v/>
      </c>
      <c r="E9" s="5">
        <f>E8+(D9*914)</f>
        <v/>
      </c>
      <c r="F9" s="32">
        <f>F8*(1-(0.05/12))</f>
        <v/>
      </c>
      <c r="G9" s="5">
        <f>G8+(F9*914)</f>
        <v/>
      </c>
      <c r="H9" s="33" t="inlineStr">
        <is>
          <t>Standard pricing (₹1,449 Net)</t>
        </is>
      </c>
    </row>
    <row r="10" ht="20" customHeight="1">
      <c r="A10" s="31" t="inlineStr">
        <is>
          <t>Month 5</t>
        </is>
      </c>
      <c r="B10" s="32">
        <f>B9*(1-(0.05/12))</f>
        <v/>
      </c>
      <c r="C10" s="5">
        <f>C9+(B10*914)</f>
        <v/>
      </c>
      <c r="D10" s="32">
        <f>D9*(1-(0.05/12))</f>
        <v/>
      </c>
      <c r="E10" s="5">
        <f>E9+(D10*914)</f>
        <v/>
      </c>
      <c r="F10" s="32">
        <f>F9*(1-(0.05/12))</f>
        <v/>
      </c>
      <c r="G10" s="5">
        <f>G9+(F10*914)</f>
        <v/>
      </c>
      <c r="H10" s="33" t="inlineStr">
        <is>
          <t>Standard pricing (₹1,449 Net)</t>
        </is>
      </c>
    </row>
    <row r="11" ht="20" customHeight="1">
      <c r="A11" s="31" t="inlineStr">
        <is>
          <t>Month 6</t>
        </is>
      </c>
      <c r="B11" s="32">
        <f>B10*(1-(0.05/12))</f>
        <v/>
      </c>
      <c r="C11" s="5">
        <f>C10+(B11*914)</f>
        <v/>
      </c>
      <c r="D11" s="32">
        <f>D10*(1-(0.05/12))</f>
        <v/>
      </c>
      <c r="E11" s="5">
        <f>E10+(D11*914)</f>
        <v/>
      </c>
      <c r="F11" s="32">
        <f>F10*(1-(0.05/12))</f>
        <v/>
      </c>
      <c r="G11" s="34">
        <f>G10+(F11*914)</f>
        <v/>
      </c>
      <c r="H11" s="33" t="inlineStr">
        <is>
          <t>Standard pricing (₹1,449 Net)</t>
        </is>
      </c>
    </row>
    <row r="12" ht="20" customHeight="1">
      <c r="A12" s="31" t="inlineStr">
        <is>
          <t>Month 7</t>
        </is>
      </c>
      <c r="B12" s="32">
        <f>B11*(1-(0.05/12))</f>
        <v/>
      </c>
      <c r="C12" s="5">
        <f>C11+(B12*914)</f>
        <v/>
      </c>
      <c r="D12" s="32">
        <f>D11*(1-(0.05/12))</f>
        <v/>
      </c>
      <c r="E12" s="34">
        <f>E11+(D12*914)</f>
        <v/>
      </c>
      <c r="F12" s="32">
        <f>F11*(1-(0.05/12))</f>
        <v/>
      </c>
      <c r="G12" s="5">
        <f>G11+(F12*914)</f>
        <v/>
      </c>
      <c r="H12" s="33" t="inlineStr">
        <is>
          <t>Standard pricing (₹1,449 Net)</t>
        </is>
      </c>
    </row>
    <row r="13" ht="20" customHeight="1">
      <c r="A13" s="31" t="inlineStr">
        <is>
          <t>Month 8</t>
        </is>
      </c>
      <c r="B13" s="32">
        <f>B12*(1-(0.05/12))</f>
        <v/>
      </c>
      <c r="C13" s="34">
        <f>C12+(B13*914)</f>
        <v/>
      </c>
      <c r="D13" s="32">
        <f>D12*(1-(0.05/12))</f>
        <v/>
      </c>
      <c r="E13" s="5">
        <f>E12+(D13*914)</f>
        <v/>
      </c>
      <c r="F13" s="32">
        <f>F12*(1-(0.05/12))</f>
        <v/>
      </c>
      <c r="G13" s="5">
        <f>G12+(F13*914)</f>
        <v/>
      </c>
      <c r="H13" s="33" t="inlineStr">
        <is>
          <t>Standard pricing (₹1,449 Net)</t>
        </is>
      </c>
    </row>
    <row r="14" ht="20" customHeight="1">
      <c r="A14" s="31" t="inlineStr">
        <is>
          <t>Month 9</t>
        </is>
      </c>
      <c r="B14" s="32">
        <f>B13*(1-(0.05/12))</f>
        <v/>
      </c>
      <c r="C14" s="5">
        <f>C13+(B14*914)</f>
        <v/>
      </c>
      <c r="D14" s="32">
        <f>D13*(1-(0.05/12))</f>
        <v/>
      </c>
      <c r="E14" s="5">
        <f>E13+(D14*914)</f>
        <v/>
      </c>
      <c r="F14" s="32">
        <f>F13*(1-(0.05/12))</f>
        <v/>
      </c>
      <c r="G14" s="5">
        <f>G13+(F14*914)</f>
        <v/>
      </c>
      <c r="H14" s="33" t="inlineStr">
        <is>
          <t>Standard pricing (₹1,449 Net)</t>
        </is>
      </c>
    </row>
    <row r="15" ht="20" customHeight="1">
      <c r="A15" s="31" t="inlineStr">
        <is>
          <t>Month 10</t>
        </is>
      </c>
      <c r="B15" s="32">
        <f>B14*(1-(0.05/12))</f>
        <v/>
      </c>
      <c r="C15" s="5">
        <f>C14+(B15*914)</f>
        <v/>
      </c>
      <c r="D15" s="32">
        <f>D14*(1-(0.05/12))</f>
        <v/>
      </c>
      <c r="E15" s="5">
        <f>E14+(D15*914)</f>
        <v/>
      </c>
      <c r="F15" s="32">
        <f>F14*(1-(0.05/12))</f>
        <v/>
      </c>
      <c r="G15" s="5">
        <f>G14+(F15*914)</f>
        <v/>
      </c>
      <c r="H15" s="33" t="inlineStr">
        <is>
          <t>Standard pricing (₹1,449 Net)</t>
        </is>
      </c>
    </row>
    <row r="16" ht="20" customHeight="1">
      <c r="A16" s="31" t="inlineStr">
        <is>
          <t>Month 11</t>
        </is>
      </c>
      <c r="B16" s="32">
        <f>B15*(1-(0.05/12))</f>
        <v/>
      </c>
      <c r="C16" s="5">
        <f>C15+(B16*914)</f>
        <v/>
      </c>
      <c r="D16" s="32">
        <f>D15*(1-(0.05/12))</f>
        <v/>
      </c>
      <c r="E16" s="5">
        <f>E15+(D16*914)</f>
        <v/>
      </c>
      <c r="F16" s="32">
        <f>F15*(1-(0.05/12))</f>
        <v/>
      </c>
      <c r="G16" s="5">
        <f>G15+(F16*914)</f>
        <v/>
      </c>
      <c r="H16" s="33" t="inlineStr">
        <is>
          <t>Standard pricing (₹1,449 Net)</t>
        </is>
      </c>
    </row>
    <row r="17" ht="20" customHeight="1">
      <c r="A17" s="31" t="inlineStr">
        <is>
          <t>Month 12</t>
        </is>
      </c>
      <c r="B17" s="32">
        <f>B16*(1-(0.05/12))</f>
        <v/>
      </c>
      <c r="C17" s="5">
        <f>C16+(B17*914)</f>
        <v/>
      </c>
      <c r="D17" s="32">
        <f>D16*(1-(0.05/12))</f>
        <v/>
      </c>
      <c r="E17" s="5">
        <f>E16+(D17*914)</f>
        <v/>
      </c>
      <c r="F17" s="32">
        <f>F16*(1-(0.05/12))</f>
        <v/>
      </c>
      <c r="G17" s="5">
        <f>G16+(F17*914)</f>
        <v/>
      </c>
      <c r="H17" s="33" t="inlineStr">
        <is>
          <t>Standard pricing (₹1,449 Net)</t>
        </is>
      </c>
    </row>
    <row r="18" ht="20" customHeight="1">
      <c r="A18" s="31" t="inlineStr">
        <is>
          <t>Month 13</t>
        </is>
      </c>
      <c r="B18" s="32">
        <f>B17*(1-(0.05/12))</f>
        <v/>
      </c>
      <c r="C18" s="5">
        <f>C17+(B18*914)</f>
        <v/>
      </c>
      <c r="D18" s="32">
        <f>D17*(1-(0.05/12))</f>
        <v/>
      </c>
      <c r="E18" s="5">
        <f>E17+(D18*914)</f>
        <v/>
      </c>
      <c r="F18" s="32">
        <f>F17*(1-(0.05/12))</f>
        <v/>
      </c>
      <c r="G18" s="5">
        <f>G17+(F18*914)</f>
        <v/>
      </c>
      <c r="H18" s="33" t="inlineStr">
        <is>
          <t>Standard pricing (₹1,449 Net)</t>
        </is>
      </c>
    </row>
    <row r="19" ht="20" customHeight="1">
      <c r="A19" s="31" t="inlineStr">
        <is>
          <t>Month 14</t>
        </is>
      </c>
      <c r="B19" s="32">
        <f>B18*(1-(0.05/12))</f>
        <v/>
      </c>
      <c r="C19" s="5">
        <f>C18+(B19*914)</f>
        <v/>
      </c>
      <c r="D19" s="32">
        <f>D18*(1-(0.05/12))</f>
        <v/>
      </c>
      <c r="E19" s="5">
        <f>E18+(D19*914)</f>
        <v/>
      </c>
      <c r="F19" s="32">
        <f>F18*(1-(0.05/12))</f>
        <v/>
      </c>
      <c r="G19" s="5">
        <f>G18+(F19*914)</f>
        <v/>
      </c>
      <c r="H19" s="33" t="inlineStr">
        <is>
          <t>Standard pricing (₹1,449 Net)</t>
        </is>
      </c>
    </row>
    <row r="20" ht="20" customHeight="1">
      <c r="A20" s="31" t="inlineStr">
        <is>
          <t>Month 15</t>
        </is>
      </c>
      <c r="B20" s="32">
        <f>B19*(1-(0.05/12))</f>
        <v/>
      </c>
      <c r="C20" s="5">
        <f>C19+(B20*914)</f>
        <v/>
      </c>
      <c r="D20" s="32">
        <f>D19*(1-(0.05/12))</f>
        <v/>
      </c>
      <c r="E20" s="5">
        <f>E19+(D20*914)</f>
        <v/>
      </c>
      <c r="F20" s="32">
        <f>F19*(1-(0.05/12))</f>
        <v/>
      </c>
      <c r="G20" s="5">
        <f>G19+(F20*914)</f>
        <v/>
      </c>
      <c r="H20" s="33" t="inlineStr">
        <is>
          <t>Standard pricing (₹1,449 Net)</t>
        </is>
      </c>
    </row>
    <row r="21" ht="20" customHeight="1">
      <c r="A21" s="31" t="inlineStr">
        <is>
          <t>Month 16</t>
        </is>
      </c>
      <c r="B21" s="32">
        <f>B20*(1-(0.05/12))</f>
        <v/>
      </c>
      <c r="C21" s="5">
        <f>C20+(B21*914)</f>
        <v/>
      </c>
      <c r="D21" s="32">
        <f>D20*(1-(0.05/12))</f>
        <v/>
      </c>
      <c r="E21" s="5">
        <f>E20+(D21*914)</f>
        <v/>
      </c>
      <c r="F21" s="32">
        <f>F20*(1-(0.05/12))</f>
        <v/>
      </c>
      <c r="G21" s="5">
        <f>G20+(F21*914)</f>
        <v/>
      </c>
      <c r="H21" s="33" t="inlineStr">
        <is>
          <t>Standard pricing (₹1,449 Net)</t>
        </is>
      </c>
    </row>
    <row r="22" ht="20" customHeight="1">
      <c r="A22" s="31" t="inlineStr">
        <is>
          <t>Month 17</t>
        </is>
      </c>
      <c r="B22" s="32">
        <f>B21*(1-(0.05/12))</f>
        <v/>
      </c>
      <c r="C22" s="5">
        <f>C21+(B22*914)</f>
        <v/>
      </c>
      <c r="D22" s="32">
        <f>D21*(1-(0.05/12))</f>
        <v/>
      </c>
      <c r="E22" s="5">
        <f>E21+(D22*914)</f>
        <v/>
      </c>
      <c r="F22" s="32">
        <f>F21*(1-(0.05/12))</f>
        <v/>
      </c>
      <c r="G22" s="5">
        <f>G21+(F22*914)</f>
        <v/>
      </c>
      <c r="H22" s="33" t="inlineStr">
        <is>
          <t>Standard pricing (₹1,449 Net)</t>
        </is>
      </c>
    </row>
    <row r="23" ht="20" customHeight="1">
      <c r="A23" s="31" t="inlineStr">
        <is>
          <t>Month 18</t>
        </is>
      </c>
      <c r="B23" s="32">
        <f>B22*(1-(0.05/12))</f>
        <v/>
      </c>
      <c r="C23" s="5">
        <f>C22+(B23*914)</f>
        <v/>
      </c>
      <c r="D23" s="32">
        <f>D22*(1-(0.05/12))</f>
        <v/>
      </c>
      <c r="E23" s="5">
        <f>E22+(D23*914)</f>
        <v/>
      </c>
      <c r="F23" s="32">
        <f>F22*(1-(0.05/12))</f>
        <v/>
      </c>
      <c r="G23" s="5">
        <f>G22+(F23*914)</f>
        <v/>
      </c>
      <c r="H23" s="33" t="inlineStr">
        <is>
          <t>Standard pricing (₹1,449 Net)</t>
        </is>
      </c>
    </row>
    <row r="24" ht="20" customHeight="1">
      <c r="A24" s="31" t="inlineStr">
        <is>
          <t>Month 19</t>
        </is>
      </c>
      <c r="B24" s="32">
        <f>B23*(1-(0.05/12))</f>
        <v/>
      </c>
      <c r="C24" s="5">
        <f>C23+(B24*914)</f>
        <v/>
      </c>
      <c r="D24" s="32">
        <f>D23*(1-(0.05/12))</f>
        <v/>
      </c>
      <c r="E24" s="5">
        <f>E23+(D24*914)</f>
        <v/>
      </c>
      <c r="F24" s="32">
        <f>F23*(1-(0.05/12))</f>
        <v/>
      </c>
      <c r="G24" s="5">
        <f>G23+(F24*914)</f>
        <v/>
      </c>
      <c r="H24" s="33" t="inlineStr">
        <is>
          <t>Standard pricing (₹1,449 Net)</t>
        </is>
      </c>
    </row>
    <row r="25" ht="20" customHeight="1">
      <c r="A25" s="31" t="inlineStr">
        <is>
          <t>Month 20</t>
        </is>
      </c>
      <c r="B25" s="32">
        <f>B24*(1-(0.05/12))</f>
        <v/>
      </c>
      <c r="C25" s="5">
        <f>C24+(B25*914)</f>
        <v/>
      </c>
      <c r="D25" s="32">
        <f>D24*(1-(0.05/12))</f>
        <v/>
      </c>
      <c r="E25" s="5">
        <f>E24+(D25*914)</f>
        <v/>
      </c>
      <c r="F25" s="32">
        <f>F24*(1-(0.05/12))</f>
        <v/>
      </c>
      <c r="G25" s="5">
        <f>G24+(F25*914)</f>
        <v/>
      </c>
      <c r="H25" s="33" t="inlineStr">
        <is>
          <t>Standard pricing (₹1,449 Net)</t>
        </is>
      </c>
    </row>
    <row r="26" ht="20" customHeight="1">
      <c r="A26" s="31" t="inlineStr">
        <is>
          <t>Month 21</t>
        </is>
      </c>
      <c r="B26" s="32">
        <f>B25*(1-(0.05/12))</f>
        <v/>
      </c>
      <c r="C26" s="5">
        <f>C25+(B26*914)</f>
        <v/>
      </c>
      <c r="D26" s="32">
        <f>D25*(1-(0.05/12))</f>
        <v/>
      </c>
      <c r="E26" s="5">
        <f>E25+(D26*914)</f>
        <v/>
      </c>
      <c r="F26" s="32">
        <f>F25*(1-(0.05/12))</f>
        <v/>
      </c>
      <c r="G26" s="5">
        <f>G25+(F26*914)</f>
        <v/>
      </c>
      <c r="H26" s="33" t="inlineStr">
        <is>
          <t>Standard pricing (₹1,449 Net)</t>
        </is>
      </c>
    </row>
    <row r="27" ht="20" customHeight="1">
      <c r="A27" s="31" t="inlineStr">
        <is>
          <t>Month 22</t>
        </is>
      </c>
      <c r="B27" s="32">
        <f>B26*(1-(0.05/12))</f>
        <v/>
      </c>
      <c r="C27" s="5">
        <f>C26+(B27*914)</f>
        <v/>
      </c>
      <c r="D27" s="32">
        <f>D26*(1-(0.05/12))</f>
        <v/>
      </c>
      <c r="E27" s="5">
        <f>E26+(D27*914)</f>
        <v/>
      </c>
      <c r="F27" s="32">
        <f>F26*(1-(0.05/12))</f>
        <v/>
      </c>
      <c r="G27" s="5">
        <f>G26+(F27*914)</f>
        <v/>
      </c>
      <c r="H27" s="33" t="inlineStr">
        <is>
          <t>Standard pricing (₹1,449 Net)</t>
        </is>
      </c>
    </row>
    <row r="28" ht="20" customHeight="1">
      <c r="A28" s="31" t="inlineStr">
        <is>
          <t>Month 23</t>
        </is>
      </c>
      <c r="B28" s="32">
        <f>B27*(1-(0.05/12))</f>
        <v/>
      </c>
      <c r="C28" s="5">
        <f>C27+(B28*914)</f>
        <v/>
      </c>
      <c r="D28" s="32">
        <f>D27*(1-(0.05/12))</f>
        <v/>
      </c>
      <c r="E28" s="5">
        <f>E27+(D28*914)</f>
        <v/>
      </c>
      <c r="F28" s="32">
        <f>F27*(1-(0.05/12))</f>
        <v/>
      </c>
      <c r="G28" s="5">
        <f>G27+(F28*914)</f>
        <v/>
      </c>
      <c r="H28" s="33" t="inlineStr">
        <is>
          <t>Standard pricing (₹1,449 Net)</t>
        </is>
      </c>
    </row>
    <row r="29" ht="20" customHeight="1">
      <c r="A29" s="31" t="inlineStr">
        <is>
          <t>Month 24</t>
        </is>
      </c>
      <c r="B29" s="32">
        <f>B28*(1-(0.05/12))</f>
        <v/>
      </c>
      <c r="C29" s="5">
        <f>C28+(B29*914)</f>
        <v/>
      </c>
      <c r="D29" s="32">
        <f>D28*(1-(0.05/12))</f>
        <v/>
      </c>
      <c r="E29" s="5">
        <f>E28+(D29*914)</f>
        <v/>
      </c>
      <c r="F29" s="32">
        <f>F28*(1-(0.05/12))</f>
        <v/>
      </c>
      <c r="G29" s="5">
        <f>G28+(F29*914)</f>
        <v/>
      </c>
      <c r="H29" s="33" t="inlineStr">
        <is>
          <t>Standard pricing (₹1,449 Net)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2"/>
  <sheetViews>
    <sheetView showGridLines="1" workbookViewId="0">
      <selection activeCell="A1" sqref="A1"/>
    </sheetView>
  </sheetViews>
  <sheetFormatPr baseColWidth="8" defaultRowHeight="15"/>
  <cols>
    <col width="78" customWidth="1" min="1" max="1"/>
    <col width="37" customWidth="1" min="2" max="2"/>
    <col width="32" customWidth="1" min="3" max="3"/>
    <col width="21" customWidth="1" min="4" max="4"/>
    <col width="41" customWidth="1" min="5" max="5"/>
    <col width="75" customWidth="1" min="6" max="6"/>
    <col width="26" customWidth="1" min="7" max="7"/>
    <col width="27" customWidth="1" min="8" max="8"/>
  </cols>
  <sheetData>
    <row r="1" ht="40" customHeight="1">
      <c r="A1" s="1" t="inlineStr">
        <is>
          <t>COHORT BUDGETING &amp; PAYBACK CASH FLOW MODEL (1,000 SWITCHERS)</t>
        </is>
      </c>
    </row>
    <row r="2"/>
    <row r="3">
      <c r="A3" s="2" t="inlineStr">
        <is>
          <t>MONTH-BY-MONTH REVENUES, EXPENSES, EBITDA AND CUMULATIVE PAYBACK SIMULATION</t>
        </is>
      </c>
    </row>
    <row r="4" ht="25" customHeight="1">
      <c r="A4" s="3" t="inlineStr">
        <is>
          <t>Timeline Month</t>
        </is>
      </c>
      <c r="B4" s="3" t="inlineStr">
        <is>
          <t>Active Customers</t>
        </is>
      </c>
      <c r="C4" s="3" t="inlineStr">
        <is>
          <t>Pricing Tier / Period</t>
        </is>
      </c>
      <c r="D4" s="3" t="inlineStr">
        <is>
          <t>Cohort Revenue (₹)</t>
        </is>
      </c>
      <c r="E4" s="3" t="inlineStr">
        <is>
          <t>Cohort Recurring Opex (₹)</t>
        </is>
      </c>
      <c r="F4" s="3" t="inlineStr">
        <is>
          <t>One-Time Capex + CAC Outlay (₹)</t>
        </is>
      </c>
      <c r="G4" s="3" t="inlineStr">
        <is>
          <t>EBITDA Profit/Loss (₹)</t>
        </is>
      </c>
      <c r="H4" s="3" t="inlineStr">
        <is>
          <t>Cumulative Cash Flow (₹)</t>
        </is>
      </c>
    </row>
    <row r="5" ht="20" customHeight="1">
      <c r="A5" s="30" t="inlineStr">
        <is>
          <t>Month 0 (Acquisition)</t>
        </is>
      </c>
      <c r="B5" s="30" t="n">
        <v>1000</v>
      </c>
      <c r="C5" s="30" t="inlineStr">
        <is>
          <t>Ecosystem Setup &amp; CAC Outflow</t>
        </is>
      </c>
      <c r="D5" s="29" t="n">
        <v>0</v>
      </c>
      <c r="E5" s="29" t="n">
        <v>0</v>
      </c>
      <c r="F5" s="29">
        <f>B5*('Illustrative Cost Breakdown'!D9+'Illustrative Cost Breakdown'!D19)</f>
        <v/>
      </c>
      <c r="G5" s="29">
        <f>-F5</f>
        <v/>
      </c>
      <c r="H5" s="29">
        <f>G5</f>
        <v/>
      </c>
    </row>
    <row r="6" ht="20" customHeight="1">
      <c r="A6" s="31" t="inlineStr">
        <is>
          <t>Month 1</t>
        </is>
      </c>
      <c r="B6" s="32">
        <f>B5*(1-(0.05/12))</f>
        <v/>
      </c>
      <c r="C6" s="33" t="inlineStr">
        <is>
          <t>Promo Pricing (₹999/mo)</t>
        </is>
      </c>
      <c r="D6" s="35">
        <f>B6*(999-50)</f>
        <v/>
      </c>
      <c r="E6" s="35">
        <f>B6*'Illustrative Cost Breakdown'!B30</f>
        <v/>
      </c>
      <c r="F6" s="35" t="n">
        <v>0</v>
      </c>
      <c r="G6" s="35">
        <f>D6-E6</f>
        <v/>
      </c>
      <c r="H6" s="9">
        <f>H5+G6</f>
        <v/>
      </c>
    </row>
    <row r="7" ht="20" customHeight="1">
      <c r="A7" s="31" t="inlineStr">
        <is>
          <t>Month 2</t>
        </is>
      </c>
      <c r="B7" s="32">
        <f>B6*(1-(0.05/12))</f>
        <v/>
      </c>
      <c r="C7" s="33" t="inlineStr">
        <is>
          <t>Promo Pricing (₹999/mo)</t>
        </is>
      </c>
      <c r="D7" s="35">
        <f>B7*(999-50)</f>
        <v/>
      </c>
      <c r="E7" s="35">
        <f>B7*'Illustrative Cost Breakdown'!B30</f>
        <v/>
      </c>
      <c r="F7" s="35" t="n">
        <v>0</v>
      </c>
      <c r="G7" s="35">
        <f>D7-E7</f>
        <v/>
      </c>
      <c r="H7" s="9">
        <f>H6+G7</f>
        <v/>
      </c>
    </row>
    <row r="8" ht="20" customHeight="1">
      <c r="A8" s="31" t="inlineStr">
        <is>
          <t>Month 3</t>
        </is>
      </c>
      <c r="B8" s="32">
        <f>B7*(1-(0.05/12))</f>
        <v/>
      </c>
      <c r="C8" s="33" t="inlineStr">
        <is>
          <t>Promo Pricing (₹999/mo)</t>
        </is>
      </c>
      <c r="D8" s="35">
        <f>B8*(999-50)</f>
        <v/>
      </c>
      <c r="E8" s="35">
        <f>B8*'Illustrative Cost Breakdown'!B30</f>
        <v/>
      </c>
      <c r="F8" s="35" t="n">
        <v>0</v>
      </c>
      <c r="G8" s="35">
        <f>D8-E8</f>
        <v/>
      </c>
      <c r="H8" s="9">
        <f>H7+G8</f>
        <v/>
      </c>
    </row>
    <row r="9" ht="20" customHeight="1">
      <c r="A9" s="31" t="inlineStr">
        <is>
          <t>Month 4</t>
        </is>
      </c>
      <c r="B9" s="32">
        <f>B8*(1-(0.05/12))</f>
        <v/>
      </c>
      <c r="C9" s="33" t="inlineStr">
        <is>
          <t>Standard Bundle (₹1,499/mo)</t>
        </is>
      </c>
      <c r="D9" s="35">
        <f>B9*(1499-50)</f>
        <v/>
      </c>
      <c r="E9" s="35">
        <f>B9*'Illustrative Cost Breakdown'!B30</f>
        <v/>
      </c>
      <c r="F9" s="35" t="n">
        <v>0</v>
      </c>
      <c r="G9" s="35">
        <f>D9-E9</f>
        <v/>
      </c>
      <c r="H9" s="9">
        <f>H8+G9</f>
        <v/>
      </c>
    </row>
    <row r="10" ht="20" customHeight="1">
      <c r="A10" s="31" t="inlineStr">
        <is>
          <t>Month 5</t>
        </is>
      </c>
      <c r="B10" s="32">
        <f>B9*(1-(0.05/12))</f>
        <v/>
      </c>
      <c r="C10" s="33" t="inlineStr">
        <is>
          <t>Standard Bundle (₹1,499/mo)</t>
        </is>
      </c>
      <c r="D10" s="35">
        <f>B10*(1499-50)</f>
        <v/>
      </c>
      <c r="E10" s="35">
        <f>B10*'Illustrative Cost Breakdown'!B30</f>
        <v/>
      </c>
      <c r="F10" s="35" t="n">
        <v>0</v>
      </c>
      <c r="G10" s="35">
        <f>D10-E10</f>
        <v/>
      </c>
      <c r="H10" s="9">
        <f>H9+G10</f>
        <v/>
      </c>
    </row>
    <row r="11" ht="20" customHeight="1">
      <c r="A11" s="31" t="inlineStr">
        <is>
          <t>Month 6</t>
        </is>
      </c>
      <c r="B11" s="32">
        <f>B10*(1-(0.05/12))</f>
        <v/>
      </c>
      <c r="C11" s="33" t="inlineStr">
        <is>
          <t>Standard Bundle (₹1,499/mo)</t>
        </is>
      </c>
      <c r="D11" s="35">
        <f>B11*(1499-50)</f>
        <v/>
      </c>
      <c r="E11" s="35">
        <f>B11*'Illustrative Cost Breakdown'!B30</f>
        <v/>
      </c>
      <c r="F11" s="35" t="n">
        <v>0</v>
      </c>
      <c r="G11" s="35">
        <f>D11-E11</f>
        <v/>
      </c>
      <c r="H11" s="9">
        <f>H10+G11</f>
        <v/>
      </c>
    </row>
    <row r="12" ht="20" customHeight="1">
      <c r="A12" s="31" t="inlineStr">
        <is>
          <t>Month 7</t>
        </is>
      </c>
      <c r="B12" s="32">
        <f>B11*(1-(0.05/12))</f>
        <v/>
      </c>
      <c r="C12" s="33" t="inlineStr">
        <is>
          <t>Standard Bundle (₹1,499/mo)</t>
        </is>
      </c>
      <c r="D12" s="35">
        <f>B12*(1499-50)</f>
        <v/>
      </c>
      <c r="E12" s="35">
        <f>B12*'Illustrative Cost Breakdown'!B30</f>
        <v/>
      </c>
      <c r="F12" s="35" t="n">
        <v>0</v>
      </c>
      <c r="G12" s="35">
        <f>D12-E12</f>
        <v/>
      </c>
      <c r="H12" s="9">
        <f>H11+G12</f>
        <v/>
      </c>
    </row>
    <row r="13" ht="20" customHeight="1">
      <c r="A13" s="31" t="inlineStr">
        <is>
          <t>Month 8</t>
        </is>
      </c>
      <c r="B13" s="32">
        <f>B12*(1-(0.05/12))</f>
        <v/>
      </c>
      <c r="C13" s="33" t="inlineStr">
        <is>
          <t>Standard Bundle (₹1,499/mo)</t>
        </is>
      </c>
      <c r="D13" s="35">
        <f>B13*(1499-50)</f>
        <v/>
      </c>
      <c r="E13" s="35">
        <f>B13*'Illustrative Cost Breakdown'!B30</f>
        <v/>
      </c>
      <c r="F13" s="35" t="n">
        <v>0</v>
      </c>
      <c r="G13" s="35">
        <f>D13-E13</f>
        <v/>
      </c>
      <c r="H13" s="9">
        <f>H12+G13</f>
        <v/>
      </c>
    </row>
    <row r="14" ht="20" customHeight="1">
      <c r="A14" s="36" t="inlineStr">
        <is>
          <t>Month 9 (PAYBACK BREAK-EVEN)</t>
        </is>
      </c>
      <c r="B14" s="32">
        <f>B13*(1-(0.05/12))</f>
        <v/>
      </c>
      <c r="C14" s="33" t="inlineStr">
        <is>
          <t>Standard Bundle (₹1,499/mo)</t>
        </is>
      </c>
      <c r="D14" s="35">
        <f>B14*(1499-50)</f>
        <v/>
      </c>
      <c r="E14" s="35">
        <f>B14*'Illustrative Cost Breakdown'!B30</f>
        <v/>
      </c>
      <c r="F14" s="35" t="n">
        <v>0</v>
      </c>
      <c r="G14" s="35">
        <f>D14-E14</f>
        <v/>
      </c>
      <c r="H14" s="34">
        <f>H13+G14</f>
        <v/>
      </c>
    </row>
    <row r="15" ht="20" customHeight="1">
      <c r="A15" s="31" t="inlineStr">
        <is>
          <t>Month 10</t>
        </is>
      </c>
      <c r="B15" s="32">
        <f>B14*(1-(0.05/12))</f>
        <v/>
      </c>
      <c r="C15" s="33" t="inlineStr">
        <is>
          <t>Standard Bundle (₹1,499/mo)</t>
        </is>
      </c>
      <c r="D15" s="35">
        <f>B15*(1499-50)</f>
        <v/>
      </c>
      <c r="E15" s="35">
        <f>B15*'Illustrative Cost Breakdown'!B30</f>
        <v/>
      </c>
      <c r="F15" s="35" t="n">
        <v>0</v>
      </c>
      <c r="G15" s="35">
        <f>D15-E15</f>
        <v/>
      </c>
      <c r="H15" s="9">
        <f>H14+G15</f>
        <v/>
      </c>
    </row>
    <row r="16" ht="20" customHeight="1">
      <c r="A16" s="31" t="inlineStr">
        <is>
          <t>Month 11</t>
        </is>
      </c>
      <c r="B16" s="32">
        <f>B15*(1-(0.05/12))</f>
        <v/>
      </c>
      <c r="C16" s="33" t="inlineStr">
        <is>
          <t>Standard Bundle (₹1,499/mo)</t>
        </is>
      </c>
      <c r="D16" s="35">
        <f>B16*(1499-50)</f>
        <v/>
      </c>
      <c r="E16" s="35">
        <f>B16*'Illustrative Cost Breakdown'!B30</f>
        <v/>
      </c>
      <c r="F16" s="35" t="n">
        <v>0</v>
      </c>
      <c r="G16" s="35">
        <f>D16-E16</f>
        <v/>
      </c>
      <c r="H16" s="9">
        <f>H15+G16</f>
        <v/>
      </c>
    </row>
    <row r="17" ht="20" customHeight="1">
      <c r="A17" s="31" t="inlineStr">
        <is>
          <t>Month 12</t>
        </is>
      </c>
      <c r="B17" s="32">
        <f>B16*(1-(0.05/12))</f>
        <v/>
      </c>
      <c r="C17" s="33" t="inlineStr">
        <is>
          <t>Standard Bundle (₹1,499/mo)</t>
        </is>
      </c>
      <c r="D17" s="35">
        <f>B17*(1499-50)</f>
        <v/>
      </c>
      <c r="E17" s="35">
        <f>B17*'Illustrative Cost Breakdown'!B30</f>
        <v/>
      </c>
      <c r="F17" s="35" t="n">
        <v>0</v>
      </c>
      <c r="G17" s="35">
        <f>D17-E17</f>
        <v/>
      </c>
      <c r="H17" s="9">
        <f>H16+G17</f>
        <v/>
      </c>
    </row>
    <row r="18" ht="20" customHeight="1">
      <c r="A18" s="31" t="inlineStr">
        <is>
          <t>Month 13</t>
        </is>
      </c>
      <c r="B18" s="32">
        <f>B17*(1-(0.05/12))</f>
        <v/>
      </c>
      <c r="C18" s="33" t="inlineStr">
        <is>
          <t>Standard Bundle (₹1,499/mo)</t>
        </is>
      </c>
      <c r="D18" s="35">
        <f>B18*(1499-50)</f>
        <v/>
      </c>
      <c r="E18" s="35">
        <f>B18*'Illustrative Cost Breakdown'!B30</f>
        <v/>
      </c>
      <c r="F18" s="35" t="n">
        <v>0</v>
      </c>
      <c r="G18" s="35">
        <f>D18-E18</f>
        <v/>
      </c>
      <c r="H18" s="9">
        <f>H17+G18</f>
        <v/>
      </c>
    </row>
    <row r="19" ht="20" customHeight="1">
      <c r="A19" s="31" t="inlineStr">
        <is>
          <t>Month 14</t>
        </is>
      </c>
      <c r="B19" s="32">
        <f>B18*(1-(0.05/12))</f>
        <v/>
      </c>
      <c r="C19" s="33" t="inlineStr">
        <is>
          <t>Standard Bundle (₹1,499/mo)</t>
        </is>
      </c>
      <c r="D19" s="35">
        <f>B19*(1499-50)</f>
        <v/>
      </c>
      <c r="E19" s="35">
        <f>B19*'Illustrative Cost Breakdown'!B30</f>
        <v/>
      </c>
      <c r="F19" s="35" t="n">
        <v>0</v>
      </c>
      <c r="G19" s="35">
        <f>D19-E19</f>
        <v/>
      </c>
      <c r="H19" s="9">
        <f>H18+G19</f>
        <v/>
      </c>
    </row>
    <row r="20" ht="20" customHeight="1">
      <c r="A20" s="31" t="inlineStr">
        <is>
          <t>Month 15</t>
        </is>
      </c>
      <c r="B20" s="32">
        <f>B19*(1-(0.05/12))</f>
        <v/>
      </c>
      <c r="C20" s="33" t="inlineStr">
        <is>
          <t>Standard Bundle (₹1,499/mo)</t>
        </is>
      </c>
      <c r="D20" s="35">
        <f>B20*(1499-50)</f>
        <v/>
      </c>
      <c r="E20" s="35">
        <f>B20*'Illustrative Cost Breakdown'!B30</f>
        <v/>
      </c>
      <c r="F20" s="35" t="n">
        <v>0</v>
      </c>
      <c r="G20" s="35">
        <f>D20-E20</f>
        <v/>
      </c>
      <c r="H20" s="9">
        <f>H19+G20</f>
        <v/>
      </c>
    </row>
    <row r="21" ht="20" customHeight="1">
      <c r="A21" s="31" t="inlineStr">
        <is>
          <t>Month 16</t>
        </is>
      </c>
      <c r="B21" s="32">
        <f>B20*(1-(0.05/12))</f>
        <v/>
      </c>
      <c r="C21" s="33" t="inlineStr">
        <is>
          <t>Standard Bundle (₹1,499/mo)</t>
        </is>
      </c>
      <c r="D21" s="35">
        <f>B21*(1499-50)</f>
        <v/>
      </c>
      <c r="E21" s="35">
        <f>B21*'Illustrative Cost Breakdown'!B30</f>
        <v/>
      </c>
      <c r="F21" s="35" t="n">
        <v>0</v>
      </c>
      <c r="G21" s="35">
        <f>D21-E21</f>
        <v/>
      </c>
      <c r="H21" s="9">
        <f>H20+G21</f>
        <v/>
      </c>
    </row>
    <row r="22" ht="20" customHeight="1">
      <c r="A22" s="31" t="inlineStr">
        <is>
          <t>Month 17</t>
        </is>
      </c>
      <c r="B22" s="32">
        <f>B21*(1-(0.05/12))</f>
        <v/>
      </c>
      <c r="C22" s="33" t="inlineStr">
        <is>
          <t>Standard Bundle (₹1,499/mo)</t>
        </is>
      </c>
      <c r="D22" s="35">
        <f>B22*(1499-50)</f>
        <v/>
      </c>
      <c r="E22" s="35">
        <f>B22*'Illustrative Cost Breakdown'!B30</f>
        <v/>
      </c>
      <c r="F22" s="35" t="n">
        <v>0</v>
      </c>
      <c r="G22" s="35">
        <f>D22-E22</f>
        <v/>
      </c>
      <c r="H22" s="9">
        <f>H21+G22</f>
        <v/>
      </c>
    </row>
    <row r="23" ht="20" customHeight="1">
      <c r="A23" s="31" t="inlineStr">
        <is>
          <t>Month 18</t>
        </is>
      </c>
      <c r="B23" s="32">
        <f>B22*(1-(0.05/12))</f>
        <v/>
      </c>
      <c r="C23" s="33" t="inlineStr">
        <is>
          <t>Standard Bundle (₹1,499/mo)</t>
        </is>
      </c>
      <c r="D23" s="35">
        <f>B23*(1499-50)</f>
        <v/>
      </c>
      <c r="E23" s="35">
        <f>B23*'Illustrative Cost Breakdown'!B30</f>
        <v/>
      </c>
      <c r="F23" s="35" t="n">
        <v>0</v>
      </c>
      <c r="G23" s="35">
        <f>D23-E23</f>
        <v/>
      </c>
      <c r="H23" s="9">
        <f>H22+G23</f>
        <v/>
      </c>
    </row>
    <row r="24" ht="20" customHeight="1">
      <c r="A24" s="31" t="inlineStr">
        <is>
          <t>Month 19</t>
        </is>
      </c>
      <c r="B24" s="32">
        <f>B23*(1-(0.05/12))</f>
        <v/>
      </c>
      <c r="C24" s="33" t="inlineStr">
        <is>
          <t>Standard Bundle (₹1,499/mo)</t>
        </is>
      </c>
      <c r="D24" s="35">
        <f>B24*(1499-50)</f>
        <v/>
      </c>
      <c r="E24" s="35">
        <f>B24*'Illustrative Cost Breakdown'!B30</f>
        <v/>
      </c>
      <c r="F24" s="35" t="n">
        <v>0</v>
      </c>
      <c r="G24" s="35">
        <f>D24-E24</f>
        <v/>
      </c>
      <c r="H24" s="9">
        <f>H23+G24</f>
        <v/>
      </c>
    </row>
    <row r="25" ht="20" customHeight="1">
      <c r="A25" s="31" t="inlineStr">
        <is>
          <t>Month 20</t>
        </is>
      </c>
      <c r="B25" s="32">
        <f>B24*(1-(0.05/12))</f>
        <v/>
      </c>
      <c r="C25" s="33" t="inlineStr">
        <is>
          <t>Standard Bundle (₹1,499/mo)</t>
        </is>
      </c>
      <c r="D25" s="35">
        <f>B25*(1499-50)</f>
        <v/>
      </c>
      <c r="E25" s="35">
        <f>B25*'Illustrative Cost Breakdown'!B30</f>
        <v/>
      </c>
      <c r="F25" s="35" t="n">
        <v>0</v>
      </c>
      <c r="G25" s="35">
        <f>D25-E25</f>
        <v/>
      </c>
      <c r="H25" s="9">
        <f>H24+G25</f>
        <v/>
      </c>
    </row>
    <row r="26" ht="20" customHeight="1">
      <c r="A26" s="31" t="inlineStr">
        <is>
          <t>Month 21</t>
        </is>
      </c>
      <c r="B26" s="32">
        <f>B25*(1-(0.05/12))</f>
        <v/>
      </c>
      <c r="C26" s="33" t="inlineStr">
        <is>
          <t>Standard Bundle (₹1,499/mo)</t>
        </is>
      </c>
      <c r="D26" s="35">
        <f>B26*(1499-50)</f>
        <v/>
      </c>
      <c r="E26" s="35">
        <f>B26*'Illustrative Cost Breakdown'!B30</f>
        <v/>
      </c>
      <c r="F26" s="35" t="n">
        <v>0</v>
      </c>
      <c r="G26" s="35">
        <f>D26-E26</f>
        <v/>
      </c>
      <c r="H26" s="9">
        <f>H25+G26</f>
        <v/>
      </c>
    </row>
    <row r="27" ht="20" customHeight="1">
      <c r="A27" s="31" t="inlineStr">
        <is>
          <t>Month 22</t>
        </is>
      </c>
      <c r="B27" s="32">
        <f>B26*(1-(0.05/12))</f>
        <v/>
      </c>
      <c r="C27" s="33" t="inlineStr">
        <is>
          <t>Standard Bundle (₹1,499/mo)</t>
        </is>
      </c>
      <c r="D27" s="35">
        <f>B27*(1499-50)</f>
        <v/>
      </c>
      <c r="E27" s="35">
        <f>B27*'Illustrative Cost Breakdown'!B30</f>
        <v/>
      </c>
      <c r="F27" s="35" t="n">
        <v>0</v>
      </c>
      <c r="G27" s="35">
        <f>D27-E27</f>
        <v/>
      </c>
      <c r="H27" s="9">
        <f>H26+G27</f>
        <v/>
      </c>
    </row>
    <row r="28" ht="20" customHeight="1">
      <c r="A28" s="31" t="inlineStr">
        <is>
          <t>Month 23</t>
        </is>
      </c>
      <c r="B28" s="32">
        <f>B27*(1-(0.05/12))</f>
        <v/>
      </c>
      <c r="C28" s="33" t="inlineStr">
        <is>
          <t>Standard Bundle (₹1,499/mo)</t>
        </is>
      </c>
      <c r="D28" s="35">
        <f>B28*(1499-50)</f>
        <v/>
      </c>
      <c r="E28" s="35">
        <f>B28*'Illustrative Cost Breakdown'!B30</f>
        <v/>
      </c>
      <c r="F28" s="35" t="n">
        <v>0</v>
      </c>
      <c r="G28" s="35">
        <f>D28-E28</f>
        <v/>
      </c>
      <c r="H28" s="9">
        <f>H27+G28</f>
        <v/>
      </c>
    </row>
    <row r="29" ht="20" customHeight="1">
      <c r="A29" s="31" t="inlineStr">
        <is>
          <t>Month 24</t>
        </is>
      </c>
      <c r="B29" s="32">
        <f>B28*(1-(0.05/12))</f>
        <v/>
      </c>
      <c r="C29" s="33" t="inlineStr">
        <is>
          <t>Standard Bundle (₹1,499/mo)</t>
        </is>
      </c>
      <c r="D29" s="35">
        <f>B29*(1499-50)</f>
        <v/>
      </c>
      <c r="E29" s="35">
        <f>B29*'Illustrative Cost Breakdown'!B30</f>
        <v/>
      </c>
      <c r="F29" s="35" t="n">
        <v>0</v>
      </c>
      <c r="G29" s="35">
        <f>D29-E29</f>
        <v/>
      </c>
      <c r="H29" s="9">
        <f>H28+G29</f>
        <v/>
      </c>
    </row>
    <row r="30"/>
    <row r="31"/>
    <row r="32" ht="22" customHeight="1">
      <c r="A32" s="23" t="inlineStr">
        <is>
          <t>Development Cost Amortization</t>
        </is>
      </c>
      <c r="B32" s="24">
        <f>-'Illustrative Cost Breakdown'!D5</f>
        <v/>
      </c>
      <c r="C32" s="37" t="n"/>
      <c r="D32" s="37" t="n"/>
      <c r="E32" s="37" t="n"/>
      <c r="F32" s="37" t="n"/>
      <c r="G32" s="23" t="inlineStr">
        <is>
          <t>Total Cohort Net Profit</t>
        </is>
      </c>
      <c r="H32" s="24">
        <f>H29+B32</f>
        <v/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8"/>
  <sheetViews>
    <sheetView showGridLines="1" workbookViewId="0">
      <selection activeCell="A1" sqref="A1"/>
    </sheetView>
  </sheetViews>
  <sheetFormatPr baseColWidth="8" defaultRowHeight="15"/>
  <cols>
    <col width="49" customWidth="1" min="1" max="1"/>
    <col width="43" customWidth="1" min="2" max="2"/>
    <col width="36" customWidth="1" min="3" max="3"/>
    <col width="52" customWidth="1" min="4" max="4"/>
    <col width="70" customWidth="1" min="5" max="5"/>
  </cols>
  <sheetData>
    <row r="1" ht="40" customHeight="1">
      <c r="A1" s="1" t="inlineStr">
        <is>
          <t>COMPETITOR MAPPING &amp; CONJOINT PRICE ELASTICITY</t>
        </is>
      </c>
    </row>
    <row r="2"/>
    <row r="3">
      <c r="A3" s="2" t="inlineStr">
        <is>
          <t>PRIMARY RESEARCH CONJOINT VALUE MODEL (N=132)</t>
        </is>
      </c>
    </row>
    <row r="4" ht="25" customHeight="1">
      <c r="A4" s="3" t="inlineStr">
        <is>
          <t>Bundle Plan Option</t>
        </is>
      </c>
      <c r="B4" s="3" t="inlineStr">
        <is>
          <t>Monthly Price Point (₹)</t>
        </is>
      </c>
      <c r="C4" s="3" t="inlineStr">
        <is>
          <t>Respondent Acceptance %</t>
        </is>
      </c>
      <c r="D4" s="3" t="inlineStr">
        <is>
          <t>Monthly Revenue Yield (₹)</t>
        </is>
      </c>
      <c r="E4" s="3" t="inlineStr">
        <is>
          <t>Financial Suitability / Sweet Spot Analysis</t>
        </is>
      </c>
    </row>
    <row r="5" ht="20" customHeight="1">
      <c r="A5" s="21" t="inlineStr">
        <is>
          <t>Altura Starter</t>
        </is>
      </c>
      <c r="B5" s="38" t="n">
        <v>499</v>
      </c>
      <c r="C5" s="13" t="n">
        <v>0.82</v>
      </c>
      <c r="D5" s="38">
        <f>B5*C5</f>
        <v/>
      </c>
      <c r="E5" s="21" t="inlineStr">
        <is>
          <t>High acceptance for entry-level; limited monetization capability</t>
        </is>
      </c>
    </row>
    <row r="6" ht="20" customHeight="1">
      <c r="A6" s="21" t="inlineStr">
        <is>
          <t>Altura Connect</t>
        </is>
      </c>
      <c r="B6" s="38" t="n">
        <v>999</v>
      </c>
      <c r="C6" s="13" t="n">
        <v>0.68</v>
      </c>
      <c r="D6" s="38">
        <f>B6*C6</f>
        <v/>
      </c>
      <c r="E6" s="21" t="inlineStr">
        <is>
          <t>Steady standard tier; good for couples and smaller households</t>
        </is>
      </c>
    </row>
    <row r="7" ht="20" customHeight="1">
      <c r="A7" s="39" t="inlineStr">
        <is>
          <t>Family Secure (Promo)</t>
        </is>
      </c>
      <c r="B7" s="40" t="n">
        <v>999</v>
      </c>
      <c r="C7" s="41" t="n">
        <v>0.89</v>
      </c>
      <c r="D7" s="42">
        <f>B7*C7</f>
        <v/>
      </c>
      <c r="E7" s="43" t="inlineStr">
        <is>
          <t>OPTIMAL SWEET SPOT: Lifts acceptance by 111% vs. standard price</t>
        </is>
      </c>
    </row>
    <row r="8" ht="20" customHeight="1">
      <c r="A8" s="21" t="inlineStr">
        <is>
          <t>Family Secure (Standard)</t>
        </is>
      </c>
      <c r="B8" s="38" t="n">
        <v>1499</v>
      </c>
      <c r="C8" s="13" t="n">
        <v>0.42</v>
      </c>
      <c r="D8" s="38">
        <f>B8*C8</f>
        <v/>
      </c>
      <c r="E8" s="21" t="inlineStr">
        <is>
          <t>High long-term ARPU but requires promo introductory hook to convert</t>
        </is>
      </c>
    </row>
    <row r="9" ht="20" customHeight="1">
      <c r="A9" s="21" t="inlineStr">
        <is>
          <t>Altura Infinite</t>
        </is>
      </c>
      <c r="B9" s="38" t="n">
        <v>2999</v>
      </c>
      <c r="C9" s="13" t="n">
        <v>0.15</v>
      </c>
      <c r="D9" s="38">
        <f>B9*C9</f>
        <v/>
      </c>
      <c r="E9" s="21" t="inlineStr">
        <is>
          <t>Niche high-value play; generates premium ARPU from 15% of market</t>
        </is>
      </c>
    </row>
    <row r="10"/>
    <row r="11"/>
    <row r="12">
      <c r="A12" s="2" t="inlineStr">
        <is>
          <t>COMPETITOR CONVERGENCE OFFERING COMPARISON</t>
        </is>
      </c>
    </row>
    <row r="13" ht="25" customHeight="1">
      <c r="A13" s="3" t="inlineStr">
        <is>
          <t>Convergence Metric</t>
        </is>
      </c>
      <c r="B13" s="3" t="inlineStr">
        <is>
          <t>Reliance Jio (Broadband-first)</t>
        </is>
      </c>
      <c r="C13" s="3" t="inlineStr">
        <is>
          <t>Vodafone Idea (Vi) (No Fiber)</t>
        </is>
      </c>
      <c r="D13" s="3" t="inlineStr">
        <is>
          <t>Altura Communications (Ours)</t>
        </is>
      </c>
    </row>
    <row r="14" ht="20" customHeight="1">
      <c r="A14" s="21" t="inlineStr">
        <is>
          <t>Core Convergence Offer</t>
        </is>
      </c>
      <c r="B14" s="21" t="inlineStr">
        <is>
          <t>Broadband + TV + OTT bundles</t>
        </is>
      </c>
      <c r="C14" s="21" t="inlineStr">
        <is>
          <t>Partnership-only (No owned Fiber)</t>
        </is>
      </c>
      <c r="D14" s="18" t="inlineStr">
        <is>
          <t>Broadband + TV + Mobile SIMs + Bank + Security</t>
        </is>
      </c>
    </row>
    <row r="15" ht="20" customHeight="1">
      <c r="A15" s="21" t="inlineStr">
        <is>
          <t>Entry Price Point</t>
        </is>
      </c>
      <c r="B15" s="21" t="inlineStr">
        <is>
          <t>₹399/mo (standalone fiber)</t>
        </is>
      </c>
      <c r="C15" s="21" t="inlineStr">
        <is>
          <t>N/A (mobile only)</t>
        </is>
      </c>
      <c r="D15" s="18" t="inlineStr">
        <is>
          <t>₹499/mo (Starter Bundle)</t>
        </is>
      </c>
    </row>
    <row r="16" ht="20" customHeight="1">
      <c r="A16" s="21" t="inlineStr">
        <is>
          <t>Home Security integration</t>
        </is>
      </c>
      <c r="B16" s="21" t="inlineStr">
        <is>
          <t>JioFiber smart camera (unintegrated app)</t>
        </is>
      </c>
      <c r="C16" s="21" t="inlineStr">
        <is>
          <t>No home security products</t>
        </is>
      </c>
      <c r="D16" s="18" t="inlineStr">
        <is>
          <t>Altura Xsafe camera with cellular failover backup</t>
        </is>
      </c>
    </row>
    <row r="17" ht="20" customHeight="1">
      <c r="A17" s="21" t="inlineStr">
        <is>
          <t>Loyalty Rewards</t>
        </is>
      </c>
      <c r="B17" s="21" t="inlineStr">
        <is>
          <t>JioPrime coupon tie-ups</t>
        </is>
      </c>
      <c r="C17" s="21" t="inlineStr">
        <is>
          <t>Vi Rewards app checkouts</t>
        </is>
      </c>
      <c r="D17" s="18" t="inlineStr">
        <is>
          <t>Altura Thanks Coins (integrated bill cashbacks)</t>
        </is>
      </c>
    </row>
    <row r="18" ht="20" customHeight="1">
      <c r="A18" s="21" t="inlineStr">
        <is>
          <t>Financial Integration</t>
        </is>
      </c>
      <c r="B18" s="21" t="inlineStr">
        <is>
          <t>UPI Payments wallet</t>
        </is>
      </c>
      <c r="C18" s="21" t="inlineStr">
        <is>
          <t>Paytm/Third-party tie-ups</t>
        </is>
      </c>
      <c r="D18" s="18" t="inlineStr">
        <is>
          <t>Altura Payments Bank (7% interest &amp; Safe Pay)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2026-08-03T17:38:40Z</dcterms:created>
  <dcterms:modified xmlns:dcterms="http://purl.org/dc/terms/" xmlns:xsi="http://www.w3.org/2001/XMLSchema-instance" xsi:type="dcterms:W3CDTF">2026-08-03T17:38:40Z</dcterms:modified>
</cp:coreProperties>
</file>