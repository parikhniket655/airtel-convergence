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Projections" sheetId="1" state="visible" r:id="rId1"/>
    <sheet xmlns:r="http://schemas.openxmlformats.org/officeDocument/2006/relationships" name="Slide Contents" sheetId="2" state="visible" r:id="rId2"/>
    <sheet xmlns:r="http://schemas.openxmlformats.org/officeDocument/2006/relationships" name="Detailed Cost Breakdown" sheetId="3" state="visible" r:id="rId3"/>
    <sheet xmlns:r="http://schemas.openxmlformats.org/officeDocument/2006/relationships" name="24-Month Projections" sheetId="4" state="visible" r:id="rId4"/>
    <sheet xmlns:r="http://schemas.openxmlformats.org/officeDocument/2006/relationships" name="Competitor &amp; Elast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&quot;₹&quot;#,##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E293B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ED1D24"/>
        <bgColor rgb="00ED1D24"/>
      </patternFill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E0F7FA"/>
        <bgColor rgb="00E0F7F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4" fontId="5" fillId="4" borderId="1" applyAlignment="1" pivotButton="0" quotePrefix="0" xfId="0">
      <alignment horizontal="center" vertical="center" wrapText="1"/>
    </xf>
    <xf numFmtId="3" fontId="4" fillId="0" borderId="1" pivotButton="0" quotePrefix="0" xfId="0"/>
    <xf numFmtId="165" fontId="5" fillId="4" borderId="1" applyAlignment="1" pivotButton="0" quotePrefix="0" xfId="0">
      <alignment horizontal="center" vertical="center" wrapText="1"/>
    </xf>
    <xf numFmtId="166" fontId="4" fillId="0" borderId="1" pivotButton="0" quotePrefix="0" xfId="0"/>
    <xf numFmtId="165" fontId="4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 wrapText="1"/>
    </xf>
    <xf numFmtId="0" fontId="5" fillId="6" borderId="2" pivotButton="0" quotePrefix="0" xfId="0"/>
    <xf numFmtId="166" fontId="5" fillId="6" borderId="2" applyAlignment="1" pivotButton="0" quotePrefix="0" xfId="0">
      <alignment horizontal="right" vertical="center" wrapText="1"/>
    </xf>
    <xf numFmtId="0" fontId="5" fillId="4" borderId="2" pivotButton="0" quotePrefix="0" xfId="0"/>
    <xf numFmtId="166" fontId="5" fillId="4" borderId="2" applyAlignment="1" pivotButton="0" quotePrefix="0" xfId="0">
      <alignment horizontal="right" vertical="center" wrapText="1"/>
    </xf>
    <xf numFmtId="0" fontId="0" fillId="6" borderId="1" pivotButton="0" quotePrefix="0" xfId="0"/>
    <xf numFmtId="166" fontId="0" fillId="6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right" vertical="center" wrapText="1"/>
    </xf>
    <xf numFmtId="0" fontId="0" fillId="6" borderId="2" pivotButton="0" quotePrefix="0" xfId="0"/>
    <xf numFmtId="164" fontId="4" fillId="0" borderId="1" applyAlignment="1" pivotButton="0" quotePrefix="0" xfId="0">
      <alignment horizontal="center" vertical="center" wrapText="1"/>
    </xf>
    <xf numFmtId="0" fontId="5" fillId="4" borderId="1" pivotButton="0" quotePrefix="0" xfId="0"/>
    <xf numFmtId="166" fontId="4" fillId="4" borderId="1" pivotButton="0" quotePrefix="0" xfId="0"/>
    <xf numFmtId="166" fontId="5" fillId="4" borderId="1" pivotButton="0" quotePrefix="0" xfId="0"/>
    <xf numFmtId="0" fontId="4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30" customWidth="1" min="2" max="2"/>
    <col width="83" customWidth="1" min="3" max="3"/>
    <col width="25" customWidth="1" min="4" max="4"/>
    <col width="68" customWidth="1" min="5" max="5"/>
  </cols>
  <sheetData>
    <row r="1" ht="40" customHeight="1">
      <c r="A1" s="1" t="inlineStr">
        <is>
          <t>ALTURA HOUSEHOLD CONVERGENCE FEASIBILITY DASHBOARD</t>
        </is>
      </c>
    </row>
    <row r="2"/>
    <row r="3">
      <c r="A3" s="2" t="inlineStr">
        <is>
          <t>KEY STRATEGIC METRICS (COHORT OF 1,000 SWITCHERS)</t>
        </is>
      </c>
    </row>
    <row r="4" ht="25" customHeight="1">
      <c r="A4" s="3" t="inlineStr">
        <is>
          <t>Metric Description</t>
        </is>
      </c>
      <c r="B4" s="3" t="inlineStr">
        <is>
          <t>Single-play (Standalone)</t>
        </is>
      </c>
      <c r="C4" s="3" t="inlineStr">
        <is>
          <t>Triple-play (Family Secure Bundle)</t>
        </is>
      </c>
      <c r="D4" s="3" t="inlineStr">
        <is>
          <t>Improvement Multiplier</t>
        </is>
      </c>
      <c r="E4" s="3" t="inlineStr">
        <is>
          <t>Financial &amp; Strategic Justification</t>
        </is>
      </c>
    </row>
    <row r="5" ht="20" customHeight="1">
      <c r="A5" s="4" t="inlineStr">
        <is>
          <t>Annual Customer Churn Rate</t>
        </is>
      </c>
      <c r="B5" s="5" t="n">
        <v>0.22</v>
      </c>
      <c r="C5" s="5" t="n">
        <v>0.05</v>
      </c>
      <c r="D5" s="6">
        <f>(B5-C5)/B5</f>
        <v/>
      </c>
      <c r="E5" s="4" t="inlineStr">
        <is>
          <t>77.3% Churn reduction dramatically extends customer lifetime.</t>
        </is>
      </c>
    </row>
    <row r="6" ht="20" customHeight="1">
      <c r="A6" s="4" t="inlineStr">
        <is>
          <t>Average Customer Lifetime (Years)</t>
        </is>
      </c>
      <c r="B6" s="7">
        <f>1/(B5)</f>
        <v/>
      </c>
      <c r="C6" s="7">
        <f>1/(C5)</f>
        <v/>
      </c>
      <c r="D6" s="8">
        <f>C6/B6</f>
        <v/>
      </c>
      <c r="E6" s="4" t="inlineStr">
        <is>
          <t>Customer relationship extends from 4.5 to 20 years.</t>
        </is>
      </c>
    </row>
    <row r="7" ht="20" customHeight="1">
      <c r="A7" s="4" t="inlineStr">
        <is>
          <t>Average Monthly Customer ARPU</t>
        </is>
      </c>
      <c r="B7" s="9" t="n">
        <v>1299</v>
      </c>
      <c r="C7" s="9" t="n">
        <v>1449</v>
      </c>
      <c r="D7" s="8">
        <f>C7/B7</f>
        <v/>
      </c>
      <c r="E7" s="4" t="inlineStr">
        <is>
          <t>Captures 1.12x direct wallet share while consolidating utilities.</t>
        </is>
      </c>
    </row>
    <row r="8" ht="20" customHeight="1">
      <c r="A8" s="4" t="inlineStr">
        <is>
          <t>Net EBITDA Customer Lifetime Value (LTV)</t>
        </is>
      </c>
      <c r="B8" s="9" t="n">
        <v>20226</v>
      </c>
      <c r="C8" s="9" t="n">
        <v>97511</v>
      </c>
      <c r="D8" s="8">
        <f>C8/B8</f>
        <v/>
      </c>
      <c r="E8" s="4" t="inlineStr">
        <is>
          <t>4.82x EBITDA contribution increase per household.</t>
        </is>
      </c>
    </row>
    <row r="9" ht="20" customHeight="1">
      <c r="A9" s="4" t="inlineStr">
        <is>
          <t>Ecosystem Return on Investment (ROI)</t>
        </is>
      </c>
      <c r="B9" s="10" t="n">
        <v>22.74444444444444</v>
      </c>
      <c r="C9" s="10" t="n">
        <v>33.41</v>
      </c>
      <c r="D9" s="8">
        <f>C9/B9</f>
        <v/>
      </c>
      <c r="E9" s="4" t="inlineStr">
        <is>
          <t>Yields 33.4x return on initial hardware subsidy + CAC outlay.</t>
        </is>
      </c>
    </row>
    <row r="10"/>
    <row r="11">
      <c r="A11" s="2" t="inlineStr">
        <is>
          <t>COHORT FINANCIAL FEASIBILITY SUMMARY</t>
        </is>
      </c>
    </row>
    <row r="12" ht="25" customHeight="1">
      <c r="A12" s="3" t="inlineStr">
        <is>
          <t>Feasibility Metric Group</t>
        </is>
      </c>
      <c r="B12" s="3" t="inlineStr">
        <is>
          <t>Value Detail</t>
        </is>
      </c>
      <c r="C12" s="3" t="inlineStr">
        <is>
          <t>Slide Reference Takeaway</t>
        </is>
      </c>
    </row>
    <row r="13" ht="20" customHeight="1">
      <c r="A13" s="4" t="inlineStr">
        <is>
          <t>Development Costs Amortization</t>
        </is>
      </c>
      <c r="B13" s="11" t="inlineStr">
        <is>
          <t>₹20,00,000 (One-time)</t>
        </is>
      </c>
      <c r="C13" s="4" t="inlineStr">
        <is>
          <t>Amortized to ₹2,000 per switcher for initial 1,000 subscriber goal</t>
        </is>
      </c>
    </row>
    <row r="14" ht="20" customHeight="1">
      <c r="A14" s="4" t="inlineStr">
        <is>
          <t>Ecosystem Initial Capex (Hardware)</t>
        </is>
      </c>
      <c r="B14" s="11" t="inlineStr">
        <is>
          <t>₹48,00,000 (₹4,800/HH)</t>
        </is>
      </c>
      <c r="C14" s="4" t="inlineStr">
        <is>
          <t>Fully provisioned router + STB box + camera. Waived to eliminate migration dread</t>
        </is>
      </c>
    </row>
    <row r="15" ht="20" customHeight="1">
      <c r="A15" s="4" t="inlineStr">
        <is>
          <t>Outbound MNP Acquisition CAC</t>
        </is>
      </c>
      <c r="B15" s="11" t="inlineStr">
        <is>
          <t>₹15,30,000 (₹1,530/HH)</t>
        </is>
      </c>
      <c r="C15" s="4" t="inlineStr">
        <is>
          <t>Includes ₹500 MNP switcher rebate + labor + commission + marketing</t>
        </is>
      </c>
    </row>
    <row r="16" ht="20" customHeight="1">
      <c r="A16" s="4" t="inlineStr">
        <is>
          <t>Weighted EBITDA Margin</t>
        </is>
      </c>
      <c r="B16" s="12" t="n">
        <v>0.2747</v>
      </c>
      <c r="C16" s="4" t="inlineStr">
        <is>
          <t>EBITDA margin of 27.5% yields ₹412/mo (promo) &amp; ₹914/mo (standard) per user</t>
        </is>
      </c>
    </row>
    <row r="17" ht="20" customHeight="1">
      <c r="A17" s="4" t="inlineStr">
        <is>
          <t>Customer Payback Period</t>
        </is>
      </c>
      <c r="B17" s="11" t="inlineStr">
        <is>
          <t>8.6 Months</t>
        </is>
      </c>
      <c r="C17" s="4" t="inlineStr">
        <is>
          <t>All initial hardware Capex + switcher CAC fully recovered in under 9 months</t>
        </is>
      </c>
    </row>
    <row r="18" ht="20" customHeight="1">
      <c r="A18" s="4" t="inlineStr">
        <is>
          <t>Net Cohort EBITDA (24-Month)</t>
        </is>
      </c>
      <c r="B18" s="11" t="inlineStr">
        <is>
          <t>₹1.15 Crores (₹1,15,44,000)</t>
        </is>
      </c>
      <c r="C18" s="4" t="inlineStr">
        <is>
          <t>Total cumulative cash flow profit after fully amortizing dev cost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65" customWidth="1" min="4" max="4"/>
    <col width="35" customWidth="1" min="5" max="5"/>
  </cols>
  <sheetData>
    <row r="1" ht="40" customHeight="1">
      <c r="A1" s="1" t="inlineStr">
        <is>
          <t>POWERPOINT PRESENTATION SLIDE CONTENTS</t>
        </is>
      </c>
    </row>
    <row r="3" ht="25" customHeight="1">
      <c r="A3" s="3" t="inlineStr">
        <is>
          <t>Slide Reference</t>
        </is>
      </c>
      <c r="B3" s="3" t="inlineStr">
        <is>
          <t>Content Heading</t>
        </is>
      </c>
      <c r="C3" s="3" t="inlineStr">
        <is>
          <t>Sub-headline / Context</t>
        </is>
      </c>
      <c r="D3" s="3" t="inlineStr">
        <is>
          <t>Bullet Point Content</t>
        </is>
      </c>
      <c r="E3" s="3" t="inlineStr">
        <is>
          <t>Key Strategic Takeaway</t>
        </is>
      </c>
    </row>
    <row r="4" ht="200" customHeight="1">
      <c r="A4" s="11" t="inlineStr">
        <is>
          <t>Slide 2: Solution</t>
        </is>
      </c>
      <c r="B4" s="13" t="inlineStr">
        <is>
          <t>Altura Home: A Frictionless, Dual-Engine Ecosystem for Household Convergence</t>
        </is>
      </c>
      <c r="C4" s="13" t="inlineStr">
        <is>
          <t>Targeting urban high-value households through inbound digital conversion and outbound competitor poaching.</t>
        </is>
      </c>
      <c r="D4" s="13" t="inlineStr">
        <is>
          <t>1. Inbound Product &amp; Digital Core:
 - 4 Value-driven tiers (Starter, Connect, Family Secure, Infinite) bundling fiber, mobile, satellite TV, bank, cloud, and security.
 - Interactive Build-Your-Own-Bundle customizer showing real-time savings to dismantle Utility-Arbitrage Bias.
 - AirBot AI digital concierge to simplify profile matching and eliminate onboarding friction.
2. Outbound Reachout/Poaching Engine:
 - Doorstep MNP in 15 Minutes: Eqquiping in-home fiber/broadband installation technicians with mobile activation apps to execute instant SIM swaps on-site.
 - Switcher's Contract Rebate: One-time ₹500 cashback credit on the first bill to buyout competitor contract penalty fees.
 - Security Network Failover: Positioning Altura Xsafe smart cameras with automatic low-power cellular network failover backup to solve Single Point of Failure (SPOF) anxiety.</t>
        </is>
      </c>
      <c r="E4" s="13" t="inlineStr">
        <is>
          <t>Competitor users (Jio/Vi) are won over by removing structural setup dread and financial switching friction at their doorsteps.</t>
        </is>
      </c>
    </row>
    <row r="5" ht="200" customHeight="1">
      <c r="A5" s="11" t="inlineStr">
        <is>
          <t>Slide 3: Feasibility</t>
        </is>
      </c>
      <c r="B5" s="13" t="inlineStr">
        <is>
          <t>Financial Feasibility: Churn-Driven LTV Multipliers &amp; High-Return Cohort Economics</t>
        </is>
      </c>
      <c r="C5" s="13" t="inlineStr">
        <is>
          <t>Amortizing upfront development, hardware subsidy, and switcher rebates through high-retention monthly recurring EBITDA margins.</t>
        </is>
      </c>
      <c r="D5" s="13" t="inlineStr">
        <is>
          <t>1. Acquisition &amp; Provisioning Capex/CAC:
 - Website/Portal Development: ₹20 Lakhs amortized (₹2,000/customer).
 - Hardware Provisioning: ₹4,800/HH (subsidized dual-band Wi-Fi router, DTH smart box, Xsafe camera) to waiving migration cost.
 - Outbound MNP CAC: ₹1,530/customer (₹500 switcher rebate, labor, runner delivery, tech commission, local marketing).
2. Detailed Operating &amp; Return Economics:
 - Recurring monthly Opex: ₹535/mo per user (bandwidth, content licensing, cellular tower pool, Google bulk royalty, cloud storage, bank administration).
 - Payback Period: The initial ₹6,330 hardware Capex + switcher CAC is fully recovered in 8.6 Months (inclusive of 3-mos promo ₹999/mo).
 - Weighted EBITDA Margin: 27.5% on standard ₹1,499/mo plan (yielding ₹914/mo EBITDA profit).
 - Churn Arbitrage LTV: Reducing churn from 22.0% (standalone) to 5.0% (triple-play) extends lifetime to 20 years, yielding ₹97,511 Net EBITDA LTV (4.82x multiplier) and 33.4x ROI.</t>
        </is>
      </c>
      <c r="E5" s="13" t="inlineStr">
        <is>
          <t>waiving upfront hardware and contract buyout costs is mathematically sound, yielding ₹1.15 Cr cohort profit in 24 months.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9" customWidth="1" min="2" max="2"/>
    <col width="25" customWidth="1" min="3" max="3"/>
    <col width="28" customWidth="1" min="4" max="4"/>
    <col width="66" customWidth="1" min="5" max="5"/>
    <col width="77" customWidth="1" min="6" max="6"/>
  </cols>
  <sheetData>
    <row r="1" ht="40" customHeight="1">
      <c r="A1" s="1" t="inlineStr">
        <is>
          <t>ALTURA HOUSEHOLD CONVERGENCE COMPREHENSIVE COST CATALOG</t>
        </is>
      </c>
    </row>
    <row r="2"/>
    <row r="3">
      <c r="A3" s="2" t="inlineStr">
        <is>
          <t>1. ONE-TIME CAPITAL &amp; DEVELOPMENT COSTS (CAPEX)</t>
        </is>
      </c>
    </row>
    <row r="4" ht="25" customHeight="1">
      <c r="A4" s="3" t="inlineStr">
        <is>
          <t>Cost Item</t>
        </is>
      </c>
      <c r="B4" s="3" t="inlineStr">
        <is>
          <t>Bulk Procurement Price (₹)</t>
        </is>
      </c>
      <c r="C4" s="3" t="inlineStr">
        <is>
          <t>Customer Charging (₹)</t>
        </is>
      </c>
      <c r="D4" s="3" t="inlineStr">
        <is>
          <t>Net Altura Subsidy (₹)</t>
        </is>
      </c>
      <c r="E4" s="3" t="inlineStr">
        <is>
          <t>Amortization Rule</t>
        </is>
      </c>
      <c r="F4" s="3" t="inlineStr">
        <is>
          <t>Strategic Business Justification</t>
        </is>
      </c>
    </row>
    <row r="5" ht="20" customHeight="1">
      <c r="A5" s="4" t="inlineStr">
        <is>
          <t>Website &amp; AI Portal Development</t>
        </is>
      </c>
      <c r="B5" s="14" t="n">
        <v>2000000</v>
      </c>
      <c r="C5" s="14" t="n">
        <v>0</v>
      </c>
      <c r="D5" s="14" t="n">
        <v>2000000</v>
      </c>
      <c r="E5" s="4" t="inlineStr">
        <is>
          <t>Amortized over first 1,000 cohort (₹2,000/HH)</t>
        </is>
      </c>
      <c r="F5" s="4" t="inlineStr">
        <is>
          <t>Design, customizer custom frontend, AirBot AI NLP training, APIs</t>
        </is>
      </c>
    </row>
    <row r="6" ht="20" customHeight="1">
      <c r="A6" s="4" t="inlineStr">
        <is>
          <t>Dual-Band ONT Wi-Fi Router</t>
        </is>
      </c>
      <c r="B6" s="14" t="n">
        <v>1500</v>
      </c>
      <c r="C6" s="14" t="n">
        <v>0</v>
      </c>
      <c r="D6" s="14" t="n">
        <v>1500</v>
      </c>
      <c r="E6" s="4" t="inlineStr">
        <is>
          <t>Amortized over customer contract lifetime</t>
        </is>
      </c>
      <c r="F6" s="4" t="inlineStr">
        <is>
          <t>Waived to eliminate migration barrier; high-speed home connectivity anchor</t>
        </is>
      </c>
    </row>
    <row r="7" ht="20" customHeight="1">
      <c r="A7" s="4" t="inlineStr">
        <is>
          <t>Altura Xstream 4K Smart Android Box</t>
        </is>
      </c>
      <c r="B7" s="14" t="n">
        <v>1800</v>
      </c>
      <c r="C7" s="14" t="n">
        <v>0</v>
      </c>
      <c r="D7" s="14" t="n">
        <v>1800</v>
      </c>
      <c r="E7" s="4" t="inlineStr">
        <is>
          <t>Amortized over customer contract lifetime</t>
        </is>
      </c>
      <c r="F7" s="4" t="inlineStr">
        <is>
          <t>Waived; hybrid satellite/OTT television anchor to stop DTH revenue drop</t>
        </is>
      </c>
    </row>
    <row r="8" ht="20" customHeight="1">
      <c r="A8" s="4" t="inlineStr">
        <is>
          <t>Altura Xsafe AI Smart Security Camera</t>
        </is>
      </c>
      <c r="B8" s="14" t="n">
        <v>1500</v>
      </c>
      <c r="C8" s="14" t="n">
        <v>0</v>
      </c>
      <c r="D8" s="14" t="n">
        <v>1500</v>
      </c>
      <c r="E8" s="4" t="inlineStr">
        <is>
          <t>Amortized over customer contract lifetime</t>
        </is>
      </c>
      <c r="F8" s="4" t="inlineStr">
        <is>
          <t>Waived; smart home security camera enlisting cell-failover backup tech</t>
        </is>
      </c>
    </row>
    <row r="9" ht="22" customHeight="1">
      <c r="A9" s="15" t="inlineStr">
        <is>
          <t>Total Capex per Subscriber</t>
        </is>
      </c>
      <c r="B9" s="16">
        <f>SUM(B6:B8)</f>
        <v/>
      </c>
      <c r="C9" s="16">
        <f>SUM(C6:C8)</f>
        <v/>
      </c>
      <c r="D9" s="16">
        <f>B9-C9</f>
        <v/>
      </c>
      <c r="E9" s="15" t="inlineStr">
        <is>
          <t>Hardware Subsidy</t>
        </is>
      </c>
      <c r="F9" s="15" t="inlineStr">
        <is>
          <t>Total Capex absorbed per Household</t>
        </is>
      </c>
    </row>
    <row r="10"/>
    <row r="11">
      <c r="A11" s="2" t="inlineStr">
        <is>
          <t>2. ONE-TIME CUSTOMER ACQUISITION COSTS (CAC)</t>
        </is>
      </c>
    </row>
    <row r="12" ht="25" customHeight="1">
      <c r="A12" s="3" t="inlineStr">
        <is>
          <t>Acquisition Cost Item</t>
        </is>
      </c>
      <c r="B12" s="3" t="inlineStr">
        <is>
          <t>Bulk/Unit Cost (₹)</t>
        </is>
      </c>
      <c r="C12" s="3" t="inlineStr">
        <is>
          <t>Charge to Customer (₹)</t>
        </is>
      </c>
      <c r="D12" s="3" t="inlineStr">
        <is>
          <t>Net Altura CAC (₹)</t>
        </is>
      </c>
      <c r="E12" s="3" t="inlineStr">
        <is>
          <t>Channel Mapped</t>
        </is>
      </c>
      <c r="F12" s="3" t="inlineStr">
        <is>
          <t>Acquisition Channel Efficiency Justification</t>
        </is>
      </c>
    </row>
    <row r="13" ht="20" customHeight="1">
      <c r="A13" s="4" t="inlineStr">
        <is>
          <t>Technician Labor Cost</t>
        </is>
      </c>
      <c r="B13" s="14" t="n">
        <v>300</v>
      </c>
      <c r="C13" s="14" t="n">
        <v>0</v>
      </c>
      <c r="D13" s="14" t="n">
        <v>300</v>
      </c>
      <c r="E13" s="4" t="inlineStr">
        <is>
          <t>In-Home Service Engineers</t>
        </is>
      </c>
      <c r="F13" s="4" t="inlineStr">
        <is>
          <t>Cost of initial physical visit and hardware deployment</t>
        </is>
      </c>
    </row>
    <row r="14" ht="20" customHeight="1">
      <c r="A14" s="4" t="inlineStr">
        <is>
          <t>Physical SIM Card &amp; Security Chip</t>
        </is>
      </c>
      <c r="B14" s="14" t="n">
        <v>80</v>
      </c>
      <c r="C14" s="14" t="n">
        <v>0</v>
      </c>
      <c r="D14" s="14" t="n">
        <v>80</v>
      </c>
      <c r="E14" s="4" t="inlineStr">
        <is>
          <t>Outbound Delivery</t>
        </is>
      </c>
      <c r="F14" s="4" t="inlineStr">
        <is>
          <t>Provisioning costs for 2 family postpaid SIM cards</t>
        </is>
      </c>
    </row>
    <row r="15" ht="20" customHeight="1">
      <c r="A15" s="4" t="inlineStr">
        <is>
          <t>MNP Switcher Cashback (Rebate)</t>
        </is>
      </c>
      <c r="B15" s="14" t="n">
        <v>500</v>
      </c>
      <c r="C15" s="14" t="n">
        <v>0</v>
      </c>
      <c r="D15" s="14" t="n">
        <v>500</v>
      </c>
      <c r="E15" s="4" t="inlineStr">
        <is>
          <t>Outbound MNP</t>
        </is>
      </c>
      <c r="F15" s="4" t="inlineStr">
        <is>
          <t>Buyout penalty fee rebate given to Jio/Vi switcher on first bill</t>
        </is>
      </c>
    </row>
    <row r="16" ht="20" customHeight="1">
      <c r="A16" s="4" t="inlineStr">
        <is>
          <t>Doorstep MNP Delivery Runner</t>
        </is>
      </c>
      <c r="B16" s="14" t="n">
        <v>100</v>
      </c>
      <c r="C16" s="14" t="n">
        <v>0</v>
      </c>
      <c r="D16" s="14" t="n">
        <v>100</v>
      </c>
      <c r="E16" s="4" t="inlineStr">
        <is>
          <t>Outbound Delivery</t>
        </is>
      </c>
      <c r="F16" s="4" t="inlineStr">
        <is>
          <t>Runner cost for doorstep delivery and SIM activation in 15 mins</t>
        </is>
      </c>
    </row>
    <row r="17" ht="20" customHeight="1">
      <c r="A17" s="4" t="inlineStr">
        <is>
          <t>Technician MNP Porting Commission</t>
        </is>
      </c>
      <c r="B17" s="14" t="n">
        <v>50</v>
      </c>
      <c r="C17" s="14" t="n">
        <v>0</v>
      </c>
      <c r="D17" s="14" t="n">
        <v>50</v>
      </c>
      <c r="E17" s="4" t="inlineStr">
        <is>
          <t>In-Home Service Engineers</t>
        </is>
      </c>
      <c r="F17" s="4" t="inlineStr">
        <is>
          <t>Engineers get bonus incentive to check competitor SIMs and execute porting</t>
        </is>
      </c>
    </row>
    <row r="18" ht="20" customHeight="1">
      <c r="A18" s="4" t="inlineStr">
        <is>
          <t>Blended Marketing/Advertising Spend</t>
        </is>
      </c>
      <c r="B18" s="14" t="n">
        <v>500</v>
      </c>
      <c r="C18" s="14" t="n">
        <v>0</v>
      </c>
      <c r="D18" s="14" t="n">
        <v>500</v>
      </c>
      <c r="E18" s="4" t="inlineStr">
        <is>
          <t>Digital Portal / OOH</t>
        </is>
      </c>
      <c r="F18" s="4" t="inlineStr">
        <is>
          <t>Pincode-targeted search ads, billboards, and performance marketing</t>
        </is>
      </c>
    </row>
    <row r="19" ht="22" customHeight="1">
      <c r="A19" s="15" t="inlineStr">
        <is>
          <t>Total CAC per Subscriber</t>
        </is>
      </c>
      <c r="B19" s="16">
        <f>SUM(B13:B18)</f>
        <v/>
      </c>
      <c r="C19" s="16">
        <f>SUM(C13:C18)</f>
        <v/>
      </c>
      <c r="D19" s="16">
        <f>B19-C19</f>
        <v/>
      </c>
      <c r="E19" s="15" t="inlineStr">
        <is>
          <t>Ecosystem Outbound CAC</t>
        </is>
      </c>
      <c r="F19" s="15" t="inlineStr">
        <is>
          <t>Total acquisition CAC outlay per customer</t>
        </is>
      </c>
    </row>
    <row r="20"/>
    <row r="21">
      <c r="A21" s="2" t="inlineStr">
        <is>
          <t>3. MONTHLY RECURRING OPERATIONAL COSTS (OPEX)</t>
        </is>
      </c>
    </row>
    <row r="22" ht="25" customHeight="1">
      <c r="A22" s="3" t="inlineStr">
        <is>
          <t>Opex Cost Item</t>
        </is>
      </c>
      <c r="B22" s="3" t="inlineStr">
        <is>
          <t>Monthly Cost (₹)</t>
        </is>
      </c>
      <c r="C22" s="3" t="inlineStr">
        <is>
          <t>Zebra Mapped Product</t>
        </is>
      </c>
      <c r="D22" s="3" t="inlineStr">
        <is>
          <t>EBITDA Mapped Segment</t>
        </is>
      </c>
      <c r="E22" s="3" t="inlineStr">
        <is>
          <t>EBITDA Margin Context</t>
        </is>
      </c>
      <c r="F22" s="3" t="inlineStr">
        <is>
          <t>Operational Performance Moat Justification</t>
        </is>
      </c>
    </row>
    <row r="23" ht="20" customHeight="1">
      <c r="A23" s="4" t="inlineStr">
        <is>
          <t>Broadband Backhaul Bandwidth</t>
        </is>
      </c>
      <c r="B23" s="14" t="n">
        <v>100</v>
      </c>
      <c r="C23" s="4" t="inlineStr">
        <is>
          <t>Fiber Broadband</t>
        </is>
      </c>
      <c r="D23" s="4" t="inlineStr">
        <is>
          <t>Broadband (32% EBITDA)</t>
        </is>
      </c>
      <c r="E23" s="4" t="inlineStr">
        <is>
          <t>Incremental bandwidth cost of laying and servicing fiber lines</t>
        </is>
      </c>
      <c r="F23" s="4" t="inlineStr">
        <is>
          <t>Home fiber link connection backhaul and hardware maintenance</t>
        </is>
      </c>
    </row>
    <row r="24" ht="20" customHeight="1">
      <c r="A24" s="4" t="inlineStr">
        <is>
          <t>Cellular Network Data Pool (2 SIMs)</t>
        </is>
      </c>
      <c r="B24" s="14" t="n">
        <v>160</v>
      </c>
      <c r="C24" s="4" t="inlineStr">
        <is>
          <t>Postpaid Mobile</t>
        </is>
      </c>
      <c r="D24" s="4" t="inlineStr">
        <is>
          <t>Mobility (28% EBITDA)</t>
        </is>
      </c>
      <c r="E24" s="4" t="inlineStr">
        <is>
          <t>Core cellular tower maintenance and pool data routing</t>
        </is>
      </c>
      <c r="F24" s="4" t="inlineStr">
        <is>
          <t>Postpaid cell pool, priority network routing slot</t>
        </is>
      </c>
    </row>
    <row r="25" ht="20" customHeight="1">
      <c r="A25" s="4" t="inlineStr">
        <is>
          <t>DTH Carriage &amp; Content Licensing</t>
        </is>
      </c>
      <c r="B25" s="14" t="n">
        <v>120</v>
      </c>
      <c r="C25" s="4" t="inlineStr">
        <is>
          <t>Xstream Play TV</t>
        </is>
      </c>
      <c r="D25" s="4" t="inlineStr">
        <is>
          <t>DTH / TV (12% EBITDA)</t>
        </is>
      </c>
      <c r="E25" s="4" t="inlineStr">
        <is>
          <t>Content carriage licensing fee paid to broadcasters/OTT players</t>
        </is>
      </c>
      <c r="F25" s="4" t="inlineStr">
        <is>
          <t>4K TV feed, basic channels, carriage, and OTT app licenses</t>
        </is>
      </c>
    </row>
    <row r="26" ht="20" customHeight="1">
      <c r="A26" s="4" t="inlineStr">
        <is>
          <t>Google One Bulk License Royalty</t>
        </is>
      </c>
      <c r="B26" s="14" t="n">
        <v>50</v>
      </c>
      <c r="C26" s="4" t="inlineStr">
        <is>
          <t>Google One (200GB)</t>
        </is>
      </c>
      <c r="D26" s="4" t="inlineStr">
        <is>
          <t>N/A (Net 15% Margin)</t>
        </is>
      </c>
      <c r="E26" s="4" t="inlineStr">
        <is>
          <t>Wholesale bulk storage royalty fee paid directly to Google</t>
        </is>
      </c>
      <c r="F26" s="4" t="inlineStr">
        <is>
          <t>200GB cloud storage space, family backup cloud access</t>
        </is>
      </c>
    </row>
    <row r="27" ht="20" customHeight="1">
      <c r="A27" s="4" t="inlineStr">
        <is>
          <t>Xsafe Camera Cloud Storage Hosting</t>
        </is>
      </c>
      <c r="B27" s="14" t="n">
        <v>40</v>
      </c>
      <c r="C27" s="4" t="inlineStr">
        <is>
          <t>Xsafe Smart Camera</t>
        </is>
      </c>
      <c r="D27" s="4" t="inlineStr">
        <is>
          <t>Surveillance (35% EBITDA)</t>
        </is>
      </c>
      <c r="E27" s="4" t="inlineStr">
        <is>
          <t>AWS/Azure cloud hosting cost per camera cloud recording feed</t>
        </is>
      </c>
      <c r="F27" s="4" t="inlineStr">
        <is>
          <t>7-day recording loop storage space and humanoid alert notification</t>
        </is>
      </c>
    </row>
    <row r="28" ht="20" customHeight="1">
      <c r="A28" s="4" t="inlineStr">
        <is>
          <t>Payments Bank Administration Fee</t>
        </is>
      </c>
      <c r="B28" s="14" t="n">
        <v>15</v>
      </c>
      <c r="C28" s="4" t="inlineStr">
        <is>
          <t>Payments Bank</t>
        </is>
      </c>
      <c r="D28" s="4" t="inlineStr">
        <is>
          <t>Banking (50% EBITDA)</t>
        </is>
      </c>
      <c r="E28" s="4" t="inlineStr">
        <is>
          <t>Transaction clearing, database administration, and KYC cost</t>
        </is>
      </c>
      <c r="F28" s="4" t="inlineStr">
        <is>
          <t>7% interest rate margin management, Safe Pay anti-fraud engine</t>
        </is>
      </c>
    </row>
    <row r="29" ht="20" customHeight="1">
      <c r="A29" s="4" t="inlineStr">
        <is>
          <t>Thanks Coins Loyalty Redemption</t>
        </is>
      </c>
      <c r="B29" s="14" t="n">
        <v>50</v>
      </c>
      <c r="C29" s="4" t="inlineStr">
        <is>
          <t>Ecosystem Reward</t>
        </is>
      </c>
      <c r="D29" s="4" t="inlineStr">
        <is>
          <t>Ecosystem Loyalty</t>
        </is>
      </c>
      <c r="E29" s="4" t="inlineStr">
        <is>
          <t>Margin cost of coin redemptions at retail partner merchants</t>
        </is>
      </c>
      <c r="F29" s="4" t="inlineStr">
        <is>
          <t>Loyalty coins program, incentivizing Autopay and monthly renewals</t>
        </is>
      </c>
    </row>
    <row r="30" ht="22" customHeight="1">
      <c r="A30" s="17" t="inlineStr">
        <is>
          <t>Total Recurring Monthly Opex</t>
        </is>
      </c>
      <c r="B30" s="18">
        <f>SUM(B23:B29)</f>
        <v/>
      </c>
      <c r="C30" s="17" t="inlineStr">
        <is>
          <t>Combined Services</t>
        </is>
      </c>
      <c r="D30" s="17" t="inlineStr">
        <is>
          <t>Weighted Segments</t>
        </is>
      </c>
      <c r="E30" s="17" t="inlineStr">
        <is>
          <t>EBITDA Profit Factor</t>
        </is>
      </c>
      <c r="F30" s="17" t="inlineStr">
        <is>
          <t>Altura's total monthly operational cost per user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33" customWidth="1" min="2" max="2"/>
    <col width="32" customWidth="1" min="3" max="3"/>
    <col width="21" customWidth="1" min="4" max="4"/>
    <col width="37" customWidth="1" min="5" max="5"/>
    <col width="67" customWidth="1" min="6" max="6"/>
    <col width="26" customWidth="1" min="7" max="7"/>
    <col width="27" customWidth="1" min="8" max="8"/>
  </cols>
  <sheetData>
    <row r="1" ht="40" customHeight="1">
      <c r="A1" s="1" t="inlineStr">
        <is>
          <t>COHORT BUDGETING &amp; PAYBACK CASH FLOW MODEL (1,000 SWITCHERS)</t>
        </is>
      </c>
    </row>
    <row r="2"/>
    <row r="3">
      <c r="A3" s="2" t="inlineStr">
        <is>
          <t>MONTH-BY-MONTH REVENUES, EXPENSES, EBITDA AND CUMULATIVE PAYBACK SIMULATION</t>
        </is>
      </c>
    </row>
    <row r="4" ht="25" customHeight="1">
      <c r="A4" s="3" t="inlineStr">
        <is>
          <t>Timeline Month</t>
        </is>
      </c>
      <c r="B4" s="3" t="inlineStr">
        <is>
          <t>Active Customers</t>
        </is>
      </c>
      <c r="C4" s="3" t="inlineStr">
        <is>
          <t>Pricing Tier / Period</t>
        </is>
      </c>
      <c r="D4" s="3" t="inlineStr">
        <is>
          <t>Cohort Revenue (₹)</t>
        </is>
      </c>
      <c r="E4" s="3" t="inlineStr">
        <is>
          <t>Cohort Recurring Opex (₹)</t>
        </is>
      </c>
      <c r="F4" s="3" t="inlineStr">
        <is>
          <t>One-Time Capex + CAC Outlay (₹)</t>
        </is>
      </c>
      <c r="G4" s="3" t="inlineStr">
        <is>
          <t>EBITDA Profit/Loss (₹)</t>
        </is>
      </c>
      <c r="H4" s="3" t="inlineStr">
        <is>
          <t>Cumulative Cash Flow (₹)</t>
        </is>
      </c>
    </row>
    <row r="5" ht="20" customHeight="1">
      <c r="A5" s="19" t="inlineStr">
        <is>
          <t>Month 0 (Acquisition)</t>
        </is>
      </c>
      <c r="B5" s="19" t="n">
        <v>1000</v>
      </c>
      <c r="C5" s="19" t="inlineStr">
        <is>
          <t>Ecosystem Setup &amp; CAC Outflow</t>
        </is>
      </c>
      <c r="D5" s="20" t="n">
        <v>0</v>
      </c>
      <c r="E5" s="20" t="n">
        <v>0</v>
      </c>
      <c r="F5" s="20">
        <f>B5*('Detailed Cost Breakdown'!D9+'Detailed Cost Breakdown'!D19)</f>
        <v/>
      </c>
      <c r="G5" s="20">
        <f>-F5</f>
        <v/>
      </c>
      <c r="H5" s="20">
        <f>G5</f>
        <v/>
      </c>
    </row>
    <row r="6" ht="20" customHeight="1">
      <c r="A6" s="21" t="inlineStr">
        <is>
          <t>Month 1</t>
        </is>
      </c>
      <c r="B6" s="22">
        <f>B5*(1-(0.05/12))</f>
        <v/>
      </c>
      <c r="C6" s="23" t="inlineStr">
        <is>
          <t>Promo Pricing (₹999/mo)</t>
        </is>
      </c>
      <c r="D6" s="24">
        <f>B6*(999-50)</f>
        <v/>
      </c>
      <c r="E6" s="24">
        <f>B6*'Detailed Cost Breakdown'!B30</f>
        <v/>
      </c>
      <c r="F6" s="24" t="n">
        <v>0</v>
      </c>
      <c r="G6" s="24">
        <f>D6-E6</f>
        <v/>
      </c>
      <c r="H6" s="25">
        <f>H5+G6</f>
        <v/>
      </c>
    </row>
    <row r="7" ht="20" customHeight="1">
      <c r="A7" s="21" t="inlineStr">
        <is>
          <t>Month 2</t>
        </is>
      </c>
      <c r="B7" s="22">
        <f>B6*(1-(0.05/12))</f>
        <v/>
      </c>
      <c r="C7" s="23" t="inlineStr">
        <is>
          <t>Promo Pricing (₹999/mo)</t>
        </is>
      </c>
      <c r="D7" s="24">
        <f>B7*(999-50)</f>
        <v/>
      </c>
      <c r="E7" s="24">
        <f>B7*'Detailed Cost Breakdown'!B30</f>
        <v/>
      </c>
      <c r="F7" s="24" t="n">
        <v>0</v>
      </c>
      <c r="G7" s="24">
        <f>D7-E7</f>
        <v/>
      </c>
      <c r="H7" s="25">
        <f>H6+G7</f>
        <v/>
      </c>
    </row>
    <row r="8" ht="20" customHeight="1">
      <c r="A8" s="21" t="inlineStr">
        <is>
          <t>Month 3</t>
        </is>
      </c>
      <c r="B8" s="22">
        <f>B7*(1-(0.05/12))</f>
        <v/>
      </c>
      <c r="C8" s="23" t="inlineStr">
        <is>
          <t>Promo Pricing (₹999/mo)</t>
        </is>
      </c>
      <c r="D8" s="24">
        <f>B8*(999-50)</f>
        <v/>
      </c>
      <c r="E8" s="24">
        <f>B8*'Detailed Cost Breakdown'!B30</f>
        <v/>
      </c>
      <c r="F8" s="24" t="n">
        <v>0</v>
      </c>
      <c r="G8" s="24">
        <f>D8-E8</f>
        <v/>
      </c>
      <c r="H8" s="25">
        <f>H7+G8</f>
        <v/>
      </c>
    </row>
    <row r="9" ht="20" customHeight="1">
      <c r="A9" s="21" t="inlineStr">
        <is>
          <t>Month 4</t>
        </is>
      </c>
      <c r="B9" s="22">
        <f>B8*(1-(0.05/12))</f>
        <v/>
      </c>
      <c r="C9" s="23" t="inlineStr">
        <is>
          <t>Standard Bundle (₹1,499/mo)</t>
        </is>
      </c>
      <c r="D9" s="24">
        <f>B9*(1499-50)</f>
        <v/>
      </c>
      <c r="E9" s="24">
        <f>B9*'Detailed Cost Breakdown'!B30</f>
        <v/>
      </c>
      <c r="F9" s="24" t="n">
        <v>0</v>
      </c>
      <c r="G9" s="24">
        <f>D9-E9</f>
        <v/>
      </c>
      <c r="H9" s="25">
        <f>H8+G9</f>
        <v/>
      </c>
    </row>
    <row r="10" ht="20" customHeight="1">
      <c r="A10" s="21" t="inlineStr">
        <is>
          <t>Month 5</t>
        </is>
      </c>
      <c r="B10" s="22">
        <f>B9*(1-(0.05/12))</f>
        <v/>
      </c>
      <c r="C10" s="23" t="inlineStr">
        <is>
          <t>Standard Bundle (₹1,499/mo)</t>
        </is>
      </c>
      <c r="D10" s="24">
        <f>B10*(1499-50)</f>
        <v/>
      </c>
      <c r="E10" s="24">
        <f>B10*'Detailed Cost Breakdown'!B30</f>
        <v/>
      </c>
      <c r="F10" s="24" t="n">
        <v>0</v>
      </c>
      <c r="G10" s="24">
        <f>D10-E10</f>
        <v/>
      </c>
      <c r="H10" s="25">
        <f>H9+G10</f>
        <v/>
      </c>
    </row>
    <row r="11" ht="20" customHeight="1">
      <c r="A11" s="21" t="inlineStr">
        <is>
          <t>Month 6</t>
        </is>
      </c>
      <c r="B11" s="22">
        <f>B10*(1-(0.05/12))</f>
        <v/>
      </c>
      <c r="C11" s="23" t="inlineStr">
        <is>
          <t>Standard Bundle (₹1,499/mo)</t>
        </is>
      </c>
      <c r="D11" s="24">
        <f>B11*(1499-50)</f>
        <v/>
      </c>
      <c r="E11" s="24">
        <f>B11*'Detailed Cost Breakdown'!B30</f>
        <v/>
      </c>
      <c r="F11" s="24" t="n">
        <v>0</v>
      </c>
      <c r="G11" s="24">
        <f>D11-E11</f>
        <v/>
      </c>
      <c r="H11" s="25">
        <f>H10+G11</f>
        <v/>
      </c>
    </row>
    <row r="12" ht="20" customHeight="1">
      <c r="A12" s="21" t="inlineStr">
        <is>
          <t>Month 7</t>
        </is>
      </c>
      <c r="B12" s="22">
        <f>B11*(1-(0.05/12))</f>
        <v/>
      </c>
      <c r="C12" s="23" t="inlineStr">
        <is>
          <t>Standard Bundle (₹1,499/mo)</t>
        </is>
      </c>
      <c r="D12" s="24">
        <f>B12*(1499-50)</f>
        <v/>
      </c>
      <c r="E12" s="24">
        <f>B12*'Detailed Cost Breakdown'!B30</f>
        <v/>
      </c>
      <c r="F12" s="24" t="n">
        <v>0</v>
      </c>
      <c r="G12" s="24">
        <f>D12-E12</f>
        <v/>
      </c>
      <c r="H12" s="25">
        <f>H11+G12</f>
        <v/>
      </c>
    </row>
    <row r="13" ht="20" customHeight="1">
      <c r="A13" s="21" t="inlineStr">
        <is>
          <t>Month 8</t>
        </is>
      </c>
      <c r="B13" s="22">
        <f>B12*(1-(0.05/12))</f>
        <v/>
      </c>
      <c r="C13" s="23" t="inlineStr">
        <is>
          <t>Standard Bundle (₹1,499/mo)</t>
        </is>
      </c>
      <c r="D13" s="24">
        <f>B13*(1499-50)</f>
        <v/>
      </c>
      <c r="E13" s="24">
        <f>B13*'Detailed Cost Breakdown'!B30</f>
        <v/>
      </c>
      <c r="F13" s="24" t="n">
        <v>0</v>
      </c>
      <c r="G13" s="24">
        <f>D13-E13</f>
        <v/>
      </c>
      <c r="H13" s="25">
        <f>H12+G13</f>
        <v/>
      </c>
    </row>
    <row r="14" ht="20" customHeight="1">
      <c r="A14" s="26" t="inlineStr">
        <is>
          <t>Month 9 (PAYBACK BREAK-EVEN)</t>
        </is>
      </c>
      <c r="B14" s="22">
        <f>B13*(1-(0.05/12))</f>
        <v/>
      </c>
      <c r="C14" s="23" t="inlineStr">
        <is>
          <t>Standard Bundle (₹1,499/mo)</t>
        </is>
      </c>
      <c r="D14" s="24">
        <f>B14*(1499-50)</f>
        <v/>
      </c>
      <c r="E14" s="24">
        <f>B14*'Detailed Cost Breakdown'!B30</f>
        <v/>
      </c>
      <c r="F14" s="24" t="n">
        <v>0</v>
      </c>
      <c r="G14" s="24">
        <f>D14-E14</f>
        <v/>
      </c>
      <c r="H14" s="27">
        <f>H13+G14</f>
        <v/>
      </c>
    </row>
    <row r="15" ht="20" customHeight="1">
      <c r="A15" s="21" t="inlineStr">
        <is>
          <t>Month 10</t>
        </is>
      </c>
      <c r="B15" s="22">
        <f>B14*(1-(0.05/12))</f>
        <v/>
      </c>
      <c r="C15" s="23" t="inlineStr">
        <is>
          <t>Standard Bundle (₹1,499/mo)</t>
        </is>
      </c>
      <c r="D15" s="24">
        <f>B15*(1499-50)</f>
        <v/>
      </c>
      <c r="E15" s="24">
        <f>B15*'Detailed Cost Breakdown'!B30</f>
        <v/>
      </c>
      <c r="F15" s="24" t="n">
        <v>0</v>
      </c>
      <c r="G15" s="24">
        <f>D15-E15</f>
        <v/>
      </c>
      <c r="H15" s="25">
        <f>H14+G15</f>
        <v/>
      </c>
    </row>
    <row r="16" ht="20" customHeight="1">
      <c r="A16" s="21" t="inlineStr">
        <is>
          <t>Month 11</t>
        </is>
      </c>
      <c r="B16" s="22">
        <f>B15*(1-(0.05/12))</f>
        <v/>
      </c>
      <c r="C16" s="23" t="inlineStr">
        <is>
          <t>Standard Bundle (₹1,499/mo)</t>
        </is>
      </c>
      <c r="D16" s="24">
        <f>B16*(1499-50)</f>
        <v/>
      </c>
      <c r="E16" s="24">
        <f>B16*'Detailed Cost Breakdown'!B30</f>
        <v/>
      </c>
      <c r="F16" s="24" t="n">
        <v>0</v>
      </c>
      <c r="G16" s="24">
        <f>D16-E16</f>
        <v/>
      </c>
      <c r="H16" s="25">
        <f>H15+G16</f>
        <v/>
      </c>
    </row>
    <row r="17" ht="20" customHeight="1">
      <c r="A17" s="21" t="inlineStr">
        <is>
          <t>Month 12</t>
        </is>
      </c>
      <c r="B17" s="22">
        <f>B16*(1-(0.05/12))</f>
        <v/>
      </c>
      <c r="C17" s="23" t="inlineStr">
        <is>
          <t>Standard Bundle (₹1,499/mo)</t>
        </is>
      </c>
      <c r="D17" s="24">
        <f>B17*(1499-50)</f>
        <v/>
      </c>
      <c r="E17" s="24">
        <f>B17*'Detailed Cost Breakdown'!B30</f>
        <v/>
      </c>
      <c r="F17" s="24" t="n">
        <v>0</v>
      </c>
      <c r="G17" s="24">
        <f>D17-E17</f>
        <v/>
      </c>
      <c r="H17" s="25">
        <f>H16+G17</f>
        <v/>
      </c>
    </row>
    <row r="18" ht="20" customHeight="1">
      <c r="A18" s="21" t="inlineStr">
        <is>
          <t>Month 13</t>
        </is>
      </c>
      <c r="B18" s="22">
        <f>B17*(1-(0.05/12))</f>
        <v/>
      </c>
      <c r="C18" s="23" t="inlineStr">
        <is>
          <t>Standard Bundle (₹1,499/mo)</t>
        </is>
      </c>
      <c r="D18" s="24">
        <f>B18*(1499-50)</f>
        <v/>
      </c>
      <c r="E18" s="24">
        <f>B18*'Detailed Cost Breakdown'!B30</f>
        <v/>
      </c>
      <c r="F18" s="24" t="n">
        <v>0</v>
      </c>
      <c r="G18" s="24">
        <f>D18-E18</f>
        <v/>
      </c>
      <c r="H18" s="25">
        <f>H17+G18</f>
        <v/>
      </c>
    </row>
    <row r="19" ht="20" customHeight="1">
      <c r="A19" s="21" t="inlineStr">
        <is>
          <t>Month 14</t>
        </is>
      </c>
      <c r="B19" s="22">
        <f>B18*(1-(0.05/12))</f>
        <v/>
      </c>
      <c r="C19" s="23" t="inlineStr">
        <is>
          <t>Standard Bundle (₹1,499/mo)</t>
        </is>
      </c>
      <c r="D19" s="24">
        <f>B19*(1499-50)</f>
        <v/>
      </c>
      <c r="E19" s="24">
        <f>B19*'Detailed Cost Breakdown'!B30</f>
        <v/>
      </c>
      <c r="F19" s="24" t="n">
        <v>0</v>
      </c>
      <c r="G19" s="24">
        <f>D19-E19</f>
        <v/>
      </c>
      <c r="H19" s="25">
        <f>H18+G19</f>
        <v/>
      </c>
    </row>
    <row r="20" ht="20" customHeight="1">
      <c r="A20" s="21" t="inlineStr">
        <is>
          <t>Month 15</t>
        </is>
      </c>
      <c r="B20" s="22">
        <f>B19*(1-(0.05/12))</f>
        <v/>
      </c>
      <c r="C20" s="23" t="inlineStr">
        <is>
          <t>Standard Bundle (₹1,499/mo)</t>
        </is>
      </c>
      <c r="D20" s="24">
        <f>B20*(1499-50)</f>
        <v/>
      </c>
      <c r="E20" s="24">
        <f>B20*'Detailed Cost Breakdown'!B30</f>
        <v/>
      </c>
      <c r="F20" s="24" t="n">
        <v>0</v>
      </c>
      <c r="G20" s="24">
        <f>D20-E20</f>
        <v/>
      </c>
      <c r="H20" s="25">
        <f>H19+G20</f>
        <v/>
      </c>
    </row>
    <row r="21" ht="20" customHeight="1">
      <c r="A21" s="21" t="inlineStr">
        <is>
          <t>Month 16</t>
        </is>
      </c>
      <c r="B21" s="22">
        <f>B20*(1-(0.05/12))</f>
        <v/>
      </c>
      <c r="C21" s="23" t="inlineStr">
        <is>
          <t>Standard Bundle (₹1,499/mo)</t>
        </is>
      </c>
      <c r="D21" s="24">
        <f>B21*(1499-50)</f>
        <v/>
      </c>
      <c r="E21" s="24">
        <f>B21*'Detailed Cost Breakdown'!B30</f>
        <v/>
      </c>
      <c r="F21" s="24" t="n">
        <v>0</v>
      </c>
      <c r="G21" s="24">
        <f>D21-E21</f>
        <v/>
      </c>
      <c r="H21" s="25">
        <f>H20+G21</f>
        <v/>
      </c>
    </row>
    <row r="22" ht="20" customHeight="1">
      <c r="A22" s="21" t="inlineStr">
        <is>
          <t>Month 17</t>
        </is>
      </c>
      <c r="B22" s="22">
        <f>B21*(1-(0.05/12))</f>
        <v/>
      </c>
      <c r="C22" s="23" t="inlineStr">
        <is>
          <t>Standard Bundle (₹1,499/mo)</t>
        </is>
      </c>
      <c r="D22" s="24">
        <f>B22*(1499-50)</f>
        <v/>
      </c>
      <c r="E22" s="24">
        <f>B22*'Detailed Cost Breakdown'!B30</f>
        <v/>
      </c>
      <c r="F22" s="24" t="n">
        <v>0</v>
      </c>
      <c r="G22" s="24">
        <f>D22-E22</f>
        <v/>
      </c>
      <c r="H22" s="25">
        <f>H21+G22</f>
        <v/>
      </c>
    </row>
    <row r="23" ht="20" customHeight="1">
      <c r="A23" s="21" t="inlineStr">
        <is>
          <t>Month 18</t>
        </is>
      </c>
      <c r="B23" s="22">
        <f>B22*(1-(0.05/12))</f>
        <v/>
      </c>
      <c r="C23" s="23" t="inlineStr">
        <is>
          <t>Standard Bundle (₹1,499/mo)</t>
        </is>
      </c>
      <c r="D23" s="24">
        <f>B23*(1499-50)</f>
        <v/>
      </c>
      <c r="E23" s="24">
        <f>B23*'Detailed Cost Breakdown'!B30</f>
        <v/>
      </c>
      <c r="F23" s="24" t="n">
        <v>0</v>
      </c>
      <c r="G23" s="24">
        <f>D23-E23</f>
        <v/>
      </c>
      <c r="H23" s="25">
        <f>H22+G23</f>
        <v/>
      </c>
    </row>
    <row r="24" ht="20" customHeight="1">
      <c r="A24" s="21" t="inlineStr">
        <is>
          <t>Month 19</t>
        </is>
      </c>
      <c r="B24" s="22">
        <f>B23*(1-(0.05/12))</f>
        <v/>
      </c>
      <c r="C24" s="23" t="inlineStr">
        <is>
          <t>Standard Bundle (₹1,499/mo)</t>
        </is>
      </c>
      <c r="D24" s="24">
        <f>B24*(1499-50)</f>
        <v/>
      </c>
      <c r="E24" s="24">
        <f>B24*'Detailed Cost Breakdown'!B30</f>
        <v/>
      </c>
      <c r="F24" s="24" t="n">
        <v>0</v>
      </c>
      <c r="G24" s="24">
        <f>D24-E24</f>
        <v/>
      </c>
      <c r="H24" s="25">
        <f>H23+G24</f>
        <v/>
      </c>
    </row>
    <row r="25" ht="20" customHeight="1">
      <c r="A25" s="21" t="inlineStr">
        <is>
          <t>Month 20</t>
        </is>
      </c>
      <c r="B25" s="22">
        <f>B24*(1-(0.05/12))</f>
        <v/>
      </c>
      <c r="C25" s="23" t="inlineStr">
        <is>
          <t>Standard Bundle (₹1,499/mo)</t>
        </is>
      </c>
      <c r="D25" s="24">
        <f>B25*(1499-50)</f>
        <v/>
      </c>
      <c r="E25" s="24">
        <f>B25*'Detailed Cost Breakdown'!B30</f>
        <v/>
      </c>
      <c r="F25" s="24" t="n">
        <v>0</v>
      </c>
      <c r="G25" s="24">
        <f>D25-E25</f>
        <v/>
      </c>
      <c r="H25" s="25">
        <f>H24+G25</f>
        <v/>
      </c>
    </row>
    <row r="26" ht="20" customHeight="1">
      <c r="A26" s="21" t="inlineStr">
        <is>
          <t>Month 21</t>
        </is>
      </c>
      <c r="B26" s="22">
        <f>B25*(1-(0.05/12))</f>
        <v/>
      </c>
      <c r="C26" s="23" t="inlineStr">
        <is>
          <t>Standard Bundle (₹1,499/mo)</t>
        </is>
      </c>
      <c r="D26" s="24">
        <f>B26*(1499-50)</f>
        <v/>
      </c>
      <c r="E26" s="24">
        <f>B26*'Detailed Cost Breakdown'!B30</f>
        <v/>
      </c>
      <c r="F26" s="24" t="n">
        <v>0</v>
      </c>
      <c r="G26" s="24">
        <f>D26-E26</f>
        <v/>
      </c>
      <c r="H26" s="25">
        <f>H25+G26</f>
        <v/>
      </c>
    </row>
    <row r="27" ht="20" customHeight="1">
      <c r="A27" s="21" t="inlineStr">
        <is>
          <t>Month 22</t>
        </is>
      </c>
      <c r="B27" s="22">
        <f>B26*(1-(0.05/12))</f>
        <v/>
      </c>
      <c r="C27" s="23" t="inlineStr">
        <is>
          <t>Standard Bundle (₹1,499/mo)</t>
        </is>
      </c>
      <c r="D27" s="24">
        <f>B27*(1499-50)</f>
        <v/>
      </c>
      <c r="E27" s="24">
        <f>B27*'Detailed Cost Breakdown'!B30</f>
        <v/>
      </c>
      <c r="F27" s="24" t="n">
        <v>0</v>
      </c>
      <c r="G27" s="24">
        <f>D27-E27</f>
        <v/>
      </c>
      <c r="H27" s="25">
        <f>H26+G27</f>
        <v/>
      </c>
    </row>
    <row r="28" ht="20" customHeight="1">
      <c r="A28" s="21" t="inlineStr">
        <is>
          <t>Month 23</t>
        </is>
      </c>
      <c r="B28" s="22">
        <f>B27*(1-(0.05/12))</f>
        <v/>
      </c>
      <c r="C28" s="23" t="inlineStr">
        <is>
          <t>Standard Bundle (₹1,499/mo)</t>
        </is>
      </c>
      <c r="D28" s="24">
        <f>B28*(1499-50)</f>
        <v/>
      </c>
      <c r="E28" s="24">
        <f>B28*'Detailed Cost Breakdown'!B30</f>
        <v/>
      </c>
      <c r="F28" s="24" t="n">
        <v>0</v>
      </c>
      <c r="G28" s="24">
        <f>D28-E28</f>
        <v/>
      </c>
      <c r="H28" s="25">
        <f>H27+G28</f>
        <v/>
      </c>
    </row>
    <row r="29" ht="20" customHeight="1">
      <c r="A29" s="21" t="inlineStr">
        <is>
          <t>Month 24</t>
        </is>
      </c>
      <c r="B29" s="22">
        <f>B28*(1-(0.05/12))</f>
        <v/>
      </c>
      <c r="C29" s="23" t="inlineStr">
        <is>
          <t>Standard Bundle (₹1,499/mo)</t>
        </is>
      </c>
      <c r="D29" s="24">
        <f>B29*(1499-50)</f>
        <v/>
      </c>
      <c r="E29" s="24">
        <f>B29*'Detailed Cost Breakdown'!B30</f>
        <v/>
      </c>
      <c r="F29" s="24" t="n">
        <v>0</v>
      </c>
      <c r="G29" s="24">
        <f>D29-E29</f>
        <v/>
      </c>
      <c r="H29" s="25">
        <f>H28+G29</f>
        <v/>
      </c>
    </row>
    <row r="30"/>
    <row r="31"/>
    <row r="32" ht="22" customHeight="1">
      <c r="A32" s="15" t="inlineStr">
        <is>
          <t>Development Cost Amortization</t>
        </is>
      </c>
      <c r="B32" s="16">
        <f>-'Detailed Cost Breakdown'!D5</f>
        <v/>
      </c>
      <c r="C32" s="28" t="n"/>
      <c r="D32" s="28" t="n"/>
      <c r="E32" s="28" t="n"/>
      <c r="F32" s="28" t="n"/>
      <c r="G32" s="15" t="inlineStr">
        <is>
          <t>Total Cohort Net Profit</t>
        </is>
      </c>
      <c r="H32" s="16">
        <f>H29+B32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43" customWidth="1" min="2" max="2"/>
    <col width="36" customWidth="1" min="3" max="3"/>
    <col width="52" customWidth="1" min="4" max="4"/>
    <col width="70" customWidth="1" min="5" max="5"/>
  </cols>
  <sheetData>
    <row r="1" ht="40" customHeight="1">
      <c r="A1" s="1" t="inlineStr">
        <is>
          <t>COMPETITOR MAPPING &amp; CONJOINT PRICE ELASTICITY</t>
        </is>
      </c>
    </row>
    <row r="2"/>
    <row r="3">
      <c r="A3" s="2" t="inlineStr">
        <is>
          <t>PRIMARY RESEARCH CONJOINT VALUE MODEL (N=132)</t>
        </is>
      </c>
    </row>
    <row r="4" ht="25" customHeight="1">
      <c r="A4" s="3" t="inlineStr">
        <is>
          <t>Bundle Plan Option</t>
        </is>
      </c>
      <c r="B4" s="3" t="inlineStr">
        <is>
          <t>Monthly Price Point (₹)</t>
        </is>
      </c>
      <c r="C4" s="3" t="inlineStr">
        <is>
          <t>Respondent Acceptance %</t>
        </is>
      </c>
      <c r="D4" s="3" t="inlineStr">
        <is>
          <t>Monthly Revenue Yield (₹)</t>
        </is>
      </c>
      <c r="E4" s="3" t="inlineStr">
        <is>
          <t>Financial Suitability / Sweet Spot Analysis</t>
        </is>
      </c>
    </row>
    <row r="5" ht="20" customHeight="1">
      <c r="A5" s="4" t="inlineStr">
        <is>
          <t>Altura Starter</t>
        </is>
      </c>
      <c r="B5" s="9" t="n">
        <v>499</v>
      </c>
      <c r="C5" s="29" t="n">
        <v>0.82</v>
      </c>
      <c r="D5" s="9">
        <f>B5*C5</f>
        <v/>
      </c>
      <c r="E5" s="4" t="inlineStr">
        <is>
          <t>High acceptance for entry-level; limited monetization capability</t>
        </is>
      </c>
    </row>
    <row r="6" ht="20" customHeight="1">
      <c r="A6" s="4" t="inlineStr">
        <is>
          <t>Altura Connect</t>
        </is>
      </c>
      <c r="B6" s="9" t="n">
        <v>999</v>
      </c>
      <c r="C6" s="29" t="n">
        <v>0.68</v>
      </c>
      <c r="D6" s="9">
        <f>B6*C6</f>
        <v/>
      </c>
      <c r="E6" s="4" t="inlineStr">
        <is>
          <t>Steady standard tier; good for couples and smaller households</t>
        </is>
      </c>
    </row>
    <row r="7" ht="20" customHeight="1">
      <c r="A7" s="30" t="inlineStr">
        <is>
          <t>Family Secure (Promo)</t>
        </is>
      </c>
      <c r="B7" s="31" t="n">
        <v>999</v>
      </c>
      <c r="C7" s="6" t="n">
        <v>0.89</v>
      </c>
      <c r="D7" s="32">
        <f>B7*C7</f>
        <v/>
      </c>
      <c r="E7" s="33" t="inlineStr">
        <is>
          <t>OPTIMAL SWEET SPOT: Lifts acceptance by 111% vs. standard price</t>
        </is>
      </c>
    </row>
    <row r="8" ht="20" customHeight="1">
      <c r="A8" s="4" t="inlineStr">
        <is>
          <t>Family Secure (Standard)</t>
        </is>
      </c>
      <c r="B8" s="9" t="n">
        <v>1499</v>
      </c>
      <c r="C8" s="29" t="n">
        <v>0.42</v>
      </c>
      <c r="D8" s="9">
        <f>B8*C8</f>
        <v/>
      </c>
      <c r="E8" s="4" t="inlineStr">
        <is>
          <t>High long-term ARPU but requires promo introductory hook to convert</t>
        </is>
      </c>
    </row>
    <row r="9" ht="20" customHeight="1">
      <c r="A9" s="4" t="inlineStr">
        <is>
          <t>Altura Infinite</t>
        </is>
      </c>
      <c r="B9" s="9" t="n">
        <v>2999</v>
      </c>
      <c r="C9" s="29" t="n">
        <v>0.15</v>
      </c>
      <c r="D9" s="9">
        <f>B9*C9</f>
        <v/>
      </c>
      <c r="E9" s="4" t="inlineStr">
        <is>
          <t>Niche high-value play; generates premium ARPU from 15% of market</t>
        </is>
      </c>
    </row>
    <row r="10"/>
    <row r="11"/>
    <row r="12">
      <c r="A12" s="2" t="inlineStr">
        <is>
          <t>COMPETITOR CONVERGENCE OFFERING COMPARISON</t>
        </is>
      </c>
    </row>
    <row r="13" ht="25" customHeight="1">
      <c r="A13" s="3" t="inlineStr">
        <is>
          <t>Convergence Metric</t>
        </is>
      </c>
      <c r="B13" s="3" t="inlineStr">
        <is>
          <t>Reliance Jio (Broadband-first)</t>
        </is>
      </c>
      <c r="C13" s="3" t="inlineStr">
        <is>
          <t>Vodafone Idea (Vi) (No Fiber)</t>
        </is>
      </c>
      <c r="D13" s="3" t="inlineStr">
        <is>
          <t>Altura Communications (Ours)</t>
        </is>
      </c>
    </row>
    <row r="14" ht="20" customHeight="1">
      <c r="A14" s="4" t="inlineStr">
        <is>
          <t>Core Convergence Offer</t>
        </is>
      </c>
      <c r="B14" s="4" t="inlineStr">
        <is>
          <t>Broadband + TV + OTT bundles</t>
        </is>
      </c>
      <c r="C14" s="4" t="inlineStr">
        <is>
          <t>Partnership-only (No owned Fiber)</t>
        </is>
      </c>
      <c r="D14" s="34" t="inlineStr">
        <is>
          <t>Broadband + TV + Mobile SIMs + Bank + Security</t>
        </is>
      </c>
    </row>
    <row r="15" ht="20" customHeight="1">
      <c r="A15" s="4" t="inlineStr">
        <is>
          <t>Entry Price Point</t>
        </is>
      </c>
      <c r="B15" s="4" t="inlineStr">
        <is>
          <t>₹399/mo (standalone fiber)</t>
        </is>
      </c>
      <c r="C15" s="4" t="inlineStr">
        <is>
          <t>N/A (mobile only)</t>
        </is>
      </c>
      <c r="D15" s="34" t="inlineStr">
        <is>
          <t>₹499/mo (Starter Bundle)</t>
        </is>
      </c>
    </row>
    <row r="16" ht="20" customHeight="1">
      <c r="A16" s="4" t="inlineStr">
        <is>
          <t>Home Security integration</t>
        </is>
      </c>
      <c r="B16" s="4" t="inlineStr">
        <is>
          <t>JioFiber smart camera (unintegrated app)</t>
        </is>
      </c>
      <c r="C16" s="4" t="inlineStr">
        <is>
          <t>No home security products</t>
        </is>
      </c>
      <c r="D16" s="34" t="inlineStr">
        <is>
          <t>Altura Xsafe camera with cellular failover backup</t>
        </is>
      </c>
    </row>
    <row r="17" ht="20" customHeight="1">
      <c r="A17" s="4" t="inlineStr">
        <is>
          <t>Loyalty Rewards</t>
        </is>
      </c>
      <c r="B17" s="4" t="inlineStr">
        <is>
          <t>JioPrime coupon tie-ups</t>
        </is>
      </c>
      <c r="C17" s="4" t="inlineStr">
        <is>
          <t>Vi Rewards app checkouts</t>
        </is>
      </c>
      <c r="D17" s="34" t="inlineStr">
        <is>
          <t>Altura Thanks Coins (integrated bill cashbacks)</t>
        </is>
      </c>
    </row>
    <row r="18" ht="20" customHeight="1">
      <c r="A18" s="4" t="inlineStr">
        <is>
          <t>Financial Integration</t>
        </is>
      </c>
      <c r="B18" s="4" t="inlineStr">
        <is>
          <t>UPI Payments wallet</t>
        </is>
      </c>
      <c r="C18" s="4" t="inlineStr">
        <is>
          <t>Paytm/Third-party tie-ups</t>
        </is>
      </c>
      <c r="D18" s="34" t="inlineStr">
        <is>
          <t>Altura Payments Bank (7% interest &amp; Safe Pay)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2026-08-03T16:55:23Z</dcterms:created>
  <dcterms:modified xmlns:dcterms="http://purl.org/dc/terms/" xmlns:xsi="http://www.w3.org/2001/XMLSchema-instance" xsi:type="dcterms:W3CDTF">2026-08-03T16:55:24Z</dcterms:modified>
</cp:coreProperties>
</file>